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M\GItHub\"/>
    </mc:Choice>
  </mc:AlternateContent>
  <xr:revisionPtr revIDLastSave="0" documentId="13_ncr:1_{46D99BFF-BA7B-45F8-9649-9A4601B48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T- Euro C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D11" i="2" s="1"/>
  <c r="C6" i="2"/>
  <c r="F12" i="2" l="1"/>
  <c r="F13" i="2" s="1"/>
  <c r="F9" i="2"/>
  <c r="F10" i="2" s="1"/>
  <c r="D14" i="2"/>
  <c r="F15" i="2" s="1"/>
  <c r="F16" i="2" s="1"/>
  <c r="H16" i="2" s="1"/>
  <c r="D12" i="2" l="1"/>
  <c r="H10" i="2"/>
  <c r="D15" i="2"/>
  <c r="H13" i="2"/>
  <c r="H18" i="2" s="1"/>
  <c r="B18" i="2" s="1"/>
  <c r="B14" i="2" l="1"/>
  <c r="J20" i="2" s="1"/>
</calcChain>
</file>

<file path=xl/sharedStrings.xml><?xml version="1.0" encoding="utf-8"?>
<sst xmlns="http://schemas.openxmlformats.org/spreadsheetml/2006/main" count="9" uniqueCount="9">
  <si>
    <t>k</t>
  </si>
  <si>
    <t>T</t>
  </si>
  <si>
    <t>u</t>
  </si>
  <si>
    <t>r</t>
  </si>
  <si>
    <r>
      <t>S</t>
    </r>
    <r>
      <rPr>
        <sz val="8"/>
        <color theme="1"/>
        <rFont val="Calibri"/>
        <family val="2"/>
        <scheme val="minor"/>
      </rPr>
      <t>0</t>
    </r>
  </si>
  <si>
    <t>d</t>
  </si>
  <si>
    <t>p</t>
  </si>
  <si>
    <t>the prob of the price of the stock going up</t>
  </si>
  <si>
    <t xml:space="preserve">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</si>
</sst>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####"/>
    <numFmt numFmtId="166" formatCode="0.####"/>
    <numFmt numFmtId="167" formatCode="&quot;The Price of the Call option is&quot;\ #0.##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0" xfId="0" applyAlignment="1">
      <alignment horizontal="center"/>
    </xf>
    <xf numFmtId="0" fontId="0" fillId="3" borderId="2" xfId="0" applyFill="1" applyBorder="1"/>
    <xf numFmtId="0" fontId="0" fillId="0" borderId="3" xfId="0" applyBorder="1" applyAlignment="1">
      <alignment horizont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6" fontId="2" fillId="4" borderId="0" xfId="0" applyNumberFormat="1" applyFont="1" applyFill="1" applyAlignment="1">
      <alignment horizontal="center" vertical="center"/>
    </xf>
    <xf numFmtId="0" fontId="0" fillId="0" borderId="6" xfId="0" applyBorder="1"/>
    <xf numFmtId="0" fontId="0" fillId="2" borderId="7" xfId="0" applyFill="1" applyBorder="1"/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7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11</xdr:row>
      <xdr:rowOff>22860</xdr:rowOff>
    </xdr:from>
    <xdr:to>
      <xdr:col>2</xdr:col>
      <xdr:colOff>556260</xdr:colOff>
      <xdr:row>14</xdr:row>
      <xdr:rowOff>7620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EBF0774-CD0D-4464-A7EE-2A7BB8671179}"/>
            </a:ext>
          </a:extLst>
        </xdr:cNvPr>
        <xdr:cNvGrpSpPr/>
      </xdr:nvGrpSpPr>
      <xdr:grpSpPr>
        <a:xfrm>
          <a:off x="1118585" y="2122248"/>
          <a:ext cx="502920" cy="544596"/>
          <a:chOff x="1280160" y="1242060"/>
          <a:chExt cx="502920" cy="533400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ECCFB8FA-AC42-0FEB-EE30-246D86551600}"/>
              </a:ext>
            </a:extLst>
          </xdr:cNvPr>
          <xdr:cNvCxnSpPr/>
        </xdr:nvCxnSpPr>
        <xdr:spPr>
          <a:xfrm flipV="1">
            <a:off x="1280160" y="1242060"/>
            <a:ext cx="502920" cy="2819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A4CFD150-0113-8064-B273-C21D726A7406}"/>
              </a:ext>
            </a:extLst>
          </xdr:cNvPr>
          <xdr:cNvCxnSpPr/>
        </xdr:nvCxnSpPr>
        <xdr:spPr>
          <a:xfrm>
            <a:off x="1295400" y="1531620"/>
            <a:ext cx="472440" cy="2438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68580</xdr:colOff>
      <xdr:row>12</xdr:row>
      <xdr:rowOff>7620</xdr:rowOff>
    </xdr:from>
    <xdr:to>
      <xdr:col>4</xdr:col>
      <xdr:colOff>571500</xdr:colOff>
      <xdr:row>14</xdr:row>
      <xdr:rowOff>175260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E6975FA-4EB3-4435-804F-31A077AA026E}"/>
            </a:ext>
          </a:extLst>
        </xdr:cNvPr>
        <xdr:cNvGrpSpPr/>
      </xdr:nvGrpSpPr>
      <xdr:grpSpPr>
        <a:xfrm>
          <a:off x="2346804" y="2293620"/>
          <a:ext cx="502920" cy="540864"/>
          <a:chOff x="1280160" y="1242060"/>
          <a:chExt cx="502920" cy="533400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2F70E221-9466-9E9F-DA7E-CF4EB46D2DB1}"/>
              </a:ext>
            </a:extLst>
          </xdr:cNvPr>
          <xdr:cNvCxnSpPr/>
        </xdr:nvCxnSpPr>
        <xdr:spPr>
          <a:xfrm flipV="1">
            <a:off x="1280160" y="1242060"/>
            <a:ext cx="502920" cy="2819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44D1C490-F398-A1CF-924B-D68290258D12}"/>
              </a:ext>
            </a:extLst>
          </xdr:cNvPr>
          <xdr:cNvCxnSpPr/>
        </xdr:nvCxnSpPr>
        <xdr:spPr>
          <a:xfrm>
            <a:off x="1295400" y="1531620"/>
            <a:ext cx="472440" cy="2438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76200</xdr:colOff>
      <xdr:row>9</xdr:row>
      <xdr:rowOff>22860</xdr:rowOff>
    </xdr:from>
    <xdr:to>
      <xdr:col>4</xdr:col>
      <xdr:colOff>579120</xdr:colOff>
      <xdr:row>12</xdr:row>
      <xdr:rowOff>7620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0027509-6060-4CDD-B544-50D06EDBD3FC}"/>
            </a:ext>
          </a:extLst>
        </xdr:cNvPr>
        <xdr:cNvGrpSpPr/>
      </xdr:nvGrpSpPr>
      <xdr:grpSpPr>
        <a:xfrm>
          <a:off x="2354424" y="1749023"/>
          <a:ext cx="502920" cy="544597"/>
          <a:chOff x="1280160" y="1242060"/>
          <a:chExt cx="502920" cy="533400"/>
        </a:xfrm>
      </xdr:grpSpPr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F111F837-8FF3-024A-E50C-06B9913B7178}"/>
              </a:ext>
            </a:extLst>
          </xdr:cNvPr>
          <xdr:cNvCxnSpPr/>
        </xdr:nvCxnSpPr>
        <xdr:spPr>
          <a:xfrm flipV="1">
            <a:off x="1280160" y="1242060"/>
            <a:ext cx="502920" cy="2819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26CD13B9-972E-5836-5531-ACAD93B1CA6D}"/>
              </a:ext>
            </a:extLst>
          </xdr:cNvPr>
          <xdr:cNvCxnSpPr/>
        </xdr:nvCxnSpPr>
        <xdr:spPr>
          <a:xfrm>
            <a:off x="1295400" y="1531620"/>
            <a:ext cx="472440" cy="2438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B989-05EA-4E3A-BC0D-566186275659}">
  <dimension ref="A1:J22"/>
  <sheetViews>
    <sheetView showGridLines="0" tabSelected="1" zoomScale="98" workbookViewId="0">
      <selection activeCell="J20" sqref="J20"/>
    </sheetView>
  </sheetViews>
  <sheetFormatPr defaultRowHeight="14.4" x14ac:dyDescent="0.3"/>
  <cols>
    <col min="1" max="1" width="5.5546875" customWidth="1"/>
    <col min="2" max="2" width="10" customWidth="1"/>
    <col min="10" max="10" width="32.109375" bestFit="1" customWidth="1"/>
  </cols>
  <sheetData>
    <row r="1" spans="1:10" ht="15" thickBot="1" x14ac:dyDescent="0.35"/>
    <row r="2" spans="1:10" ht="15" thickBot="1" x14ac:dyDescent="0.35">
      <c r="B2" s="13" t="s">
        <v>8</v>
      </c>
      <c r="C2" s="14"/>
      <c r="D2" s="14"/>
      <c r="E2" s="14"/>
      <c r="F2" s="14"/>
      <c r="G2" s="14"/>
      <c r="H2" s="14"/>
      <c r="I2" s="15"/>
    </row>
    <row r="3" spans="1:10" ht="15" thickBot="1" x14ac:dyDescent="0.35">
      <c r="B3" s="11" t="s">
        <v>0</v>
      </c>
      <c r="C3" s="12">
        <v>21</v>
      </c>
      <c r="E3" s="11" t="s">
        <v>1</v>
      </c>
      <c r="F3" s="12">
        <v>0.25</v>
      </c>
      <c r="H3" s="11" t="s">
        <v>2</v>
      </c>
      <c r="I3" s="12">
        <v>1.1000000000000001</v>
      </c>
    </row>
    <row r="4" spans="1:10" ht="15" thickBot="1" x14ac:dyDescent="0.35">
      <c r="B4" s="1" t="s">
        <v>3</v>
      </c>
      <c r="C4" s="2">
        <v>0.04</v>
      </c>
      <c r="E4" s="1" t="s">
        <v>4</v>
      </c>
      <c r="F4" s="2">
        <v>20</v>
      </c>
      <c r="H4" s="1" t="s">
        <v>5</v>
      </c>
      <c r="I4" s="2">
        <v>0.9</v>
      </c>
    </row>
    <row r="5" spans="1:10" ht="15" thickBot="1" x14ac:dyDescent="0.3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5" thickBot="1" x14ac:dyDescent="0.35">
      <c r="A6" s="3"/>
      <c r="B6" s="1" t="s">
        <v>6</v>
      </c>
      <c r="C6" s="4">
        <f>(EXP(C4*F3)-I4)/(I3-I4)</f>
        <v>0.55025083542083941</v>
      </c>
      <c r="D6" t="s">
        <v>7</v>
      </c>
      <c r="E6" s="3"/>
      <c r="F6" s="3"/>
      <c r="G6" s="3"/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3"/>
      <c r="B9" s="3"/>
      <c r="C9" s="3"/>
      <c r="D9" s="3"/>
      <c r="E9" s="3"/>
      <c r="F9" s="3">
        <f>D11*I3</f>
        <v>24.200000000000003</v>
      </c>
      <c r="G9" s="3"/>
      <c r="H9" s="5"/>
      <c r="I9" s="3"/>
      <c r="J9" s="3"/>
    </row>
    <row r="10" spans="1:10" x14ac:dyDescent="0.3">
      <c r="A10" s="3"/>
      <c r="B10" s="3"/>
      <c r="C10" s="3"/>
      <c r="D10" s="3"/>
      <c r="E10" s="3"/>
      <c r="F10" s="6">
        <f>IF($C$3-F9&lt;0,F9-$C$3,0)</f>
        <v>3.2000000000000028</v>
      </c>
      <c r="G10" s="3"/>
      <c r="H10" s="5">
        <f>F10*C6^2</f>
        <v>0.96888314202026227</v>
      </c>
      <c r="I10" s="3"/>
      <c r="J10" s="3"/>
    </row>
    <row r="11" spans="1:10" x14ac:dyDescent="0.3">
      <c r="A11" s="3"/>
      <c r="B11" s="3"/>
      <c r="C11" s="3"/>
      <c r="D11" s="3">
        <f>B13*I3</f>
        <v>22</v>
      </c>
      <c r="E11" s="3"/>
      <c r="F11" s="3"/>
      <c r="G11" s="3"/>
      <c r="H11" s="5"/>
      <c r="I11" s="3"/>
      <c r="J11" s="3"/>
    </row>
    <row r="12" spans="1:10" x14ac:dyDescent="0.3">
      <c r="A12" s="3"/>
      <c r="B12" s="3"/>
      <c r="C12" s="3"/>
      <c r="D12" s="6">
        <f>(F10*$C$6+F13*(1-$C$6))*EXP(-$C$4*$F$3)</f>
        <v>1.743282394011979</v>
      </c>
      <c r="E12" s="3"/>
      <c r="F12" s="3">
        <f>D11*I4</f>
        <v>19.8</v>
      </c>
      <c r="G12" s="3"/>
      <c r="H12" s="5"/>
      <c r="I12" s="3"/>
      <c r="J12" s="3"/>
    </row>
    <row r="13" spans="1:10" x14ac:dyDescent="0.3">
      <c r="A13" s="3"/>
      <c r="B13" s="3">
        <f>F4</f>
        <v>20</v>
      </c>
      <c r="C13" s="3"/>
      <c r="D13" s="3"/>
      <c r="E13" s="3"/>
      <c r="F13" s="7">
        <f>IF($C$3-F12&lt;0,F12-$C$3,0)</f>
        <v>0</v>
      </c>
      <c r="G13" s="3"/>
      <c r="H13" s="5">
        <f>F13*C6*(1-C6)</f>
        <v>0</v>
      </c>
      <c r="I13" s="3"/>
      <c r="J13" s="3"/>
    </row>
    <row r="14" spans="1:10" x14ac:dyDescent="0.3">
      <c r="A14" s="3"/>
      <c r="B14" s="10">
        <f>(D12*$C$6+D15*(1-$C$6))*EXP(-$C$4*$F$3)</f>
        <v>0.94969797039754178</v>
      </c>
      <c r="C14" s="3"/>
      <c r="D14" s="3">
        <f>B13*I4</f>
        <v>18</v>
      </c>
      <c r="E14" s="3"/>
      <c r="F14" s="3"/>
      <c r="G14" s="3"/>
      <c r="H14" s="5"/>
      <c r="I14" s="3"/>
      <c r="J14" s="3"/>
    </row>
    <row r="15" spans="1:10" x14ac:dyDescent="0.3">
      <c r="A15" s="3"/>
      <c r="B15" s="3"/>
      <c r="C15" s="3"/>
      <c r="D15" s="7">
        <f>(F13*$C$6+F16*(1-$C$6))*EXP(-$C$4*$F$3)</f>
        <v>0</v>
      </c>
      <c r="E15" s="3"/>
      <c r="F15" s="3">
        <f>D14*I4</f>
        <v>16.2</v>
      </c>
      <c r="G15" s="3"/>
      <c r="H15" s="5"/>
      <c r="I15" s="3"/>
      <c r="J15" s="3"/>
    </row>
    <row r="16" spans="1:10" x14ac:dyDescent="0.3">
      <c r="A16" s="3"/>
      <c r="B16" s="3"/>
      <c r="C16" s="3"/>
      <c r="D16" s="3"/>
      <c r="E16" s="3"/>
      <c r="F16" s="7">
        <f>IF($C$3-F15&lt;0,F15-$C$3,0)</f>
        <v>0</v>
      </c>
      <c r="G16" s="3"/>
      <c r="H16" s="5">
        <f>F16*((1-C6)^2)</f>
        <v>0</v>
      </c>
      <c r="I16" s="3"/>
      <c r="J16" s="3"/>
    </row>
    <row r="17" spans="1:10" x14ac:dyDescent="0.3">
      <c r="A17" s="3"/>
      <c r="B17" s="3"/>
      <c r="C17" s="3"/>
      <c r="D17" s="3"/>
      <c r="E17" s="3"/>
      <c r="F17" s="3"/>
      <c r="G17" s="3"/>
      <c r="H17" s="5"/>
      <c r="I17" s="3"/>
      <c r="J17" s="3"/>
    </row>
    <row r="18" spans="1:10" x14ac:dyDescent="0.3">
      <c r="A18" s="3"/>
      <c r="B18" s="8">
        <f>H18*EXP(-2*F3*C4)</f>
        <v>0.94969797039754156</v>
      </c>
      <c r="C18" s="8"/>
      <c r="D18" s="8"/>
      <c r="E18" s="8"/>
      <c r="F18" s="8"/>
      <c r="G18" s="8"/>
      <c r="H18" s="9">
        <f>SUM(H16,2*H13,H10)</f>
        <v>0.96888314202026227</v>
      </c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J20" s="16">
        <f>B14</f>
        <v>0.94969797039754178</v>
      </c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C22" s="3"/>
      <c r="D22" s="3"/>
      <c r="E22" s="3"/>
      <c r="F22" s="3"/>
      <c r="G22" s="3"/>
      <c r="H22" s="3"/>
      <c r="I22" s="3"/>
      <c r="J22" s="3"/>
    </row>
  </sheetData>
  <mergeCells count="1">
    <mergeCell ref="B2:I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BT- Euro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Jayesh Jain</cp:lastModifiedBy>
  <dcterms:created xsi:type="dcterms:W3CDTF">2015-06-05T18:17:20Z</dcterms:created>
  <dcterms:modified xsi:type="dcterms:W3CDTF">2025-11-03T20:13:28Z</dcterms:modified>
</cp:coreProperties>
</file>