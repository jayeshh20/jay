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IM\GItHub\"/>
    </mc:Choice>
  </mc:AlternateContent>
  <xr:revisionPtr revIDLastSave="0" documentId="13_ncr:1_{2896A126-35FD-4AF3-B0AE-1FBA7C0772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T- American Pu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2" l="1"/>
  <c r="D13" i="2" s="1"/>
  <c r="F14" i="2" s="1"/>
  <c r="F2" i="2"/>
  <c r="C5" i="2" s="1"/>
  <c r="F15" i="2" l="1"/>
  <c r="D10" i="2"/>
  <c r="F11" i="2" l="1"/>
  <c r="F12" i="2" s="1"/>
  <c r="D14" i="2" s="1"/>
  <c r="F8" i="2"/>
  <c r="F9" i="2" s="1"/>
  <c r="D11" i="2" l="1"/>
  <c r="B13" i="2" s="1"/>
  <c r="J19" i="2" s="1"/>
</calcChain>
</file>

<file path=xl/sharedStrings.xml><?xml version="1.0" encoding="utf-8"?>
<sst xmlns="http://schemas.openxmlformats.org/spreadsheetml/2006/main" count="7" uniqueCount="7">
  <si>
    <t>k</t>
  </si>
  <si>
    <t>T</t>
  </si>
  <si>
    <t>u</t>
  </si>
  <si>
    <t>r</t>
  </si>
  <si>
    <r>
      <t>S</t>
    </r>
    <r>
      <rPr>
        <sz val="8"/>
        <color theme="1"/>
        <rFont val="Calibri"/>
        <family val="2"/>
        <scheme val="minor"/>
      </rPr>
      <t>0</t>
    </r>
  </si>
  <si>
    <t>d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</si>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</sst>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he Price of the Put option is&quot;\ #.####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808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3" borderId="2" xfId="0" applyFill="1" applyBorder="1"/>
    <xf numFmtId="0" fontId="0" fillId="0" borderId="0" xfId="0" applyAlignment="1">
      <alignment horizontal="center" vertical="center"/>
    </xf>
    <xf numFmtId="0" fontId="0" fillId="0" borderId="3" xfId="0" applyBorder="1"/>
    <xf numFmtId="0" fontId="2" fillId="4" borderId="0" xfId="0" applyFont="1" applyFill="1" applyAlignment="1">
      <alignment horizontal="center" vertical="center"/>
    </xf>
    <xf numFmtId="0" fontId="0" fillId="0" borderId="4" xfId="0" applyBorder="1"/>
    <xf numFmtId="0" fontId="0" fillId="0" borderId="5" xfId="0" applyBorder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</xdr:colOff>
      <xdr:row>8</xdr:row>
      <xdr:rowOff>7620</xdr:rowOff>
    </xdr:from>
    <xdr:to>
      <xdr:col>4</xdr:col>
      <xdr:colOff>571500</xdr:colOff>
      <xdr:row>10</xdr:row>
      <xdr:rowOff>175260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6CDD576-1E3E-4CB4-BE38-AC8389FCA5C0}"/>
            </a:ext>
          </a:extLst>
        </xdr:cNvPr>
        <xdr:cNvGrpSpPr/>
      </xdr:nvGrpSpPr>
      <xdr:grpSpPr>
        <a:xfrm>
          <a:off x="2278380" y="1512570"/>
          <a:ext cx="502920" cy="535940"/>
          <a:chOff x="1280160" y="1242060"/>
          <a:chExt cx="502920" cy="533400"/>
        </a:xfrm>
      </xdr:grpSpPr>
      <xdr:cxnSp macro="">
        <xdr:nvCxnSpPr>
          <xdr:cNvPr id="3" name="Straight Arrow Connector 2">
            <a:extLst>
              <a:ext uri="{FF2B5EF4-FFF2-40B4-BE49-F238E27FC236}">
                <a16:creationId xmlns:a16="http://schemas.microsoft.com/office/drawing/2014/main" id="{C54F5A79-A315-501B-C23E-BC315B81ED3D}"/>
              </a:ext>
            </a:extLst>
          </xdr:cNvPr>
          <xdr:cNvCxnSpPr/>
        </xdr:nvCxnSpPr>
        <xdr:spPr>
          <a:xfrm flipV="1">
            <a:off x="1280160" y="1242060"/>
            <a:ext cx="502920" cy="2819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Straight Arrow Connector 3">
            <a:extLst>
              <a:ext uri="{FF2B5EF4-FFF2-40B4-BE49-F238E27FC236}">
                <a16:creationId xmlns:a16="http://schemas.microsoft.com/office/drawing/2014/main" id="{7251C3E3-87C7-5C2D-462D-E32E62111628}"/>
              </a:ext>
            </a:extLst>
          </xdr:cNvPr>
          <xdr:cNvCxnSpPr/>
        </xdr:nvCxnSpPr>
        <xdr:spPr>
          <a:xfrm>
            <a:off x="1295400" y="1531620"/>
            <a:ext cx="472440" cy="2438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60960</xdr:colOff>
      <xdr:row>9</xdr:row>
      <xdr:rowOff>144780</xdr:rowOff>
    </xdr:from>
    <xdr:to>
      <xdr:col>2</xdr:col>
      <xdr:colOff>563880</xdr:colOff>
      <xdr:row>12</xdr:row>
      <xdr:rowOff>129540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42787406-BA9D-4430-857B-D86BAAB081BB}"/>
            </a:ext>
          </a:extLst>
        </xdr:cNvPr>
        <xdr:cNvGrpSpPr/>
      </xdr:nvGrpSpPr>
      <xdr:grpSpPr>
        <a:xfrm>
          <a:off x="1051560" y="1833880"/>
          <a:ext cx="502920" cy="537210"/>
          <a:chOff x="1280160" y="1242060"/>
          <a:chExt cx="502920" cy="533400"/>
        </a:xfrm>
      </xdr:grpSpPr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3DD2702E-E1AE-3B2B-91C5-A4566FB9F415}"/>
              </a:ext>
            </a:extLst>
          </xdr:cNvPr>
          <xdr:cNvCxnSpPr/>
        </xdr:nvCxnSpPr>
        <xdr:spPr>
          <a:xfrm flipV="1">
            <a:off x="1280160" y="1242060"/>
            <a:ext cx="502920" cy="2819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Straight Arrow Connector 6">
            <a:extLst>
              <a:ext uri="{FF2B5EF4-FFF2-40B4-BE49-F238E27FC236}">
                <a16:creationId xmlns:a16="http://schemas.microsoft.com/office/drawing/2014/main" id="{E18A95B8-31D1-5E84-27BE-28DF6180A92D}"/>
              </a:ext>
            </a:extLst>
          </xdr:cNvPr>
          <xdr:cNvCxnSpPr/>
        </xdr:nvCxnSpPr>
        <xdr:spPr>
          <a:xfrm>
            <a:off x="1295400" y="1531620"/>
            <a:ext cx="472440" cy="2438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45720</xdr:colOff>
      <xdr:row>11</xdr:row>
      <xdr:rowOff>7620</xdr:rowOff>
    </xdr:from>
    <xdr:to>
      <xdr:col>4</xdr:col>
      <xdr:colOff>548640</xdr:colOff>
      <xdr:row>13</xdr:row>
      <xdr:rowOff>175260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3C5823F3-7575-4A7D-8C43-38FFC206AACE}"/>
            </a:ext>
          </a:extLst>
        </xdr:cNvPr>
        <xdr:cNvGrpSpPr/>
      </xdr:nvGrpSpPr>
      <xdr:grpSpPr>
        <a:xfrm>
          <a:off x="2255520" y="2065020"/>
          <a:ext cx="502920" cy="535940"/>
          <a:chOff x="1280160" y="1242060"/>
          <a:chExt cx="502920" cy="533400"/>
        </a:xfrm>
      </xdr:grpSpPr>
      <xdr:cxnSp macro="">
        <xdr:nvCxnSpPr>
          <xdr:cNvPr id="9" name="Straight Arrow Connector 8">
            <a:extLst>
              <a:ext uri="{FF2B5EF4-FFF2-40B4-BE49-F238E27FC236}">
                <a16:creationId xmlns:a16="http://schemas.microsoft.com/office/drawing/2014/main" id="{8177EA44-CDB8-B61B-23FA-47C0924199BE}"/>
              </a:ext>
            </a:extLst>
          </xdr:cNvPr>
          <xdr:cNvCxnSpPr/>
        </xdr:nvCxnSpPr>
        <xdr:spPr>
          <a:xfrm flipV="1">
            <a:off x="1280160" y="1242060"/>
            <a:ext cx="502920" cy="2819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66ABBCD6-EB06-89E0-830D-9394E3393D3A}"/>
              </a:ext>
            </a:extLst>
          </xdr:cNvPr>
          <xdr:cNvCxnSpPr/>
        </xdr:nvCxnSpPr>
        <xdr:spPr>
          <a:xfrm>
            <a:off x="1295400" y="1531620"/>
            <a:ext cx="472440" cy="2438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83BAE-A191-4F36-93FD-49572B3ADD02}">
  <dimension ref="B1:J19"/>
  <sheetViews>
    <sheetView showGridLines="0" tabSelected="1" zoomScale="120" workbookViewId="0">
      <selection activeCell="C3" sqref="C3"/>
    </sheetView>
  </sheetViews>
  <sheetFormatPr defaultRowHeight="14.4" x14ac:dyDescent="0.3"/>
  <cols>
    <col min="1" max="1" width="5.5546875" customWidth="1"/>
    <col min="10" max="10" width="31.6640625" bestFit="1" customWidth="1"/>
  </cols>
  <sheetData>
    <row r="1" spans="2:9" ht="15" thickBot="1" x14ac:dyDescent="0.35"/>
    <row r="2" spans="2:9" ht="15" thickBot="1" x14ac:dyDescent="0.35">
      <c r="B2" s="1" t="s">
        <v>0</v>
      </c>
      <c r="C2" s="2">
        <v>42</v>
      </c>
      <c r="E2" s="1" t="s">
        <v>1</v>
      </c>
      <c r="F2" s="2">
        <f>3/12</f>
        <v>0.25</v>
      </c>
      <c r="H2" s="1" t="s">
        <v>2</v>
      </c>
      <c r="I2" s="2">
        <v>1.2</v>
      </c>
    </row>
    <row r="3" spans="2:9" ht="15" thickBot="1" x14ac:dyDescent="0.35">
      <c r="B3" s="1" t="s">
        <v>3</v>
      </c>
      <c r="C3" s="2">
        <v>0.05</v>
      </c>
      <c r="E3" s="1" t="s">
        <v>4</v>
      </c>
      <c r="F3" s="2">
        <v>40</v>
      </c>
      <c r="H3" s="1" t="s">
        <v>5</v>
      </c>
      <c r="I3" s="2">
        <v>0.85</v>
      </c>
    </row>
    <row r="4" spans="2:9" ht="15" thickBot="1" x14ac:dyDescent="0.35"/>
    <row r="5" spans="2:9" ht="15" thickBot="1" x14ac:dyDescent="0.35">
      <c r="B5" s="1" t="s">
        <v>6</v>
      </c>
      <c r="C5" s="3">
        <f>(EXP(C3*F2)-I3)/(I2-I3)</f>
        <v>0.46450986154466983</v>
      </c>
    </row>
    <row r="8" spans="2:9" x14ac:dyDescent="0.3">
      <c r="B8" s="4"/>
      <c r="C8" s="4"/>
      <c r="D8" s="4"/>
      <c r="E8" s="4"/>
      <c r="F8" s="4">
        <f>D10*I2</f>
        <v>57.599999999999994</v>
      </c>
      <c r="G8" s="4"/>
      <c r="H8" s="5"/>
    </row>
    <row r="9" spans="2:9" x14ac:dyDescent="0.3">
      <c r="B9" s="4"/>
      <c r="C9" s="4"/>
      <c r="D9" s="4"/>
      <c r="E9" s="4"/>
      <c r="F9" s="6">
        <f>MAX( (H7*$C$5+H10*(1-$C$5))*EXP(-$C$3*$F$2),($C$2-F8))</f>
        <v>0</v>
      </c>
      <c r="G9" s="4"/>
      <c r="H9" s="5"/>
    </row>
    <row r="10" spans="2:9" x14ac:dyDescent="0.3">
      <c r="B10" s="4"/>
      <c r="C10" s="4"/>
      <c r="D10" s="4">
        <f>B12*I2</f>
        <v>48</v>
      </c>
      <c r="E10" s="4"/>
      <c r="F10" s="4"/>
      <c r="G10" s="4"/>
      <c r="H10" s="5"/>
    </row>
    <row r="11" spans="2:9" x14ac:dyDescent="0.3">
      <c r="B11" s="4"/>
      <c r="C11" s="4"/>
      <c r="D11" s="6">
        <f>MAX( (F9*$C$5+F12*(1-$C$5))*EXP(-$C$3*$F$2),($C$2-D10))</f>
        <v>0.6346058077462563</v>
      </c>
      <c r="E11" s="4"/>
      <c r="F11" s="4">
        <f>D10*I3</f>
        <v>40.799999999999997</v>
      </c>
      <c r="G11" s="4"/>
      <c r="H11" s="5"/>
    </row>
    <row r="12" spans="2:9" x14ac:dyDescent="0.3">
      <c r="B12" s="4">
        <f>F3</f>
        <v>40</v>
      </c>
      <c r="C12" s="4"/>
      <c r="D12" s="4"/>
      <c r="E12" s="4"/>
      <c r="F12" s="6">
        <f>MAX( (H10*$C$5+H13*(1-$C$5))*EXP(-$C$3*$F$2),($C$2-F11))</f>
        <v>1.2000000000000028</v>
      </c>
      <c r="G12" s="4"/>
      <c r="H12" s="5"/>
    </row>
    <row r="13" spans="2:9" x14ac:dyDescent="0.3">
      <c r="B13" s="6">
        <f>MAX( (D11*$C$5+D14*(1-$C$5))*EXP(-$C$3*$F$2),($C$2-B12))</f>
        <v>4.5218242167486578</v>
      </c>
      <c r="C13" s="4"/>
      <c r="D13" s="4">
        <f>B12*I3</f>
        <v>34</v>
      </c>
      <c r="E13" s="4"/>
      <c r="F13" s="4"/>
      <c r="G13" s="4"/>
      <c r="H13" s="5"/>
    </row>
    <row r="14" spans="2:9" x14ac:dyDescent="0.3">
      <c r="B14" s="4"/>
      <c r="C14" s="4"/>
      <c r="D14" s="6">
        <f>MAX((F12*$C$5+F15*(1-$C$5))*EXP(-$C$3*$F$2),($C$2-D13))</f>
        <v>8</v>
      </c>
      <c r="E14" s="4"/>
      <c r="F14" s="4">
        <f>D13*I3</f>
        <v>28.9</v>
      </c>
      <c r="G14" s="4"/>
      <c r="H14" s="5"/>
    </row>
    <row r="15" spans="2:9" x14ac:dyDescent="0.3">
      <c r="B15" s="4"/>
      <c r="C15" s="4"/>
      <c r="D15" s="4"/>
      <c r="E15" s="4"/>
      <c r="F15" s="6">
        <f>MAX( (H13*$C$5+H16*(1-$C$5))*EXP(-$C$3*$F$2),($C$2-F14))</f>
        <v>13.100000000000001</v>
      </c>
      <c r="G15" s="4"/>
      <c r="H15" s="5"/>
    </row>
    <row r="16" spans="2:9" x14ac:dyDescent="0.3">
      <c r="B16" s="4"/>
      <c r="C16" s="4"/>
      <c r="D16" s="4"/>
      <c r="E16" s="4"/>
      <c r="F16" s="4"/>
      <c r="G16" s="4"/>
      <c r="H16" s="5"/>
    </row>
    <row r="17" spans="2:10" x14ac:dyDescent="0.3">
      <c r="B17" s="7"/>
      <c r="C17" s="7"/>
      <c r="D17" s="7"/>
      <c r="E17" s="7"/>
      <c r="F17" s="7"/>
      <c r="G17" s="7"/>
      <c r="H17" s="8"/>
    </row>
    <row r="19" spans="2:10" x14ac:dyDescent="0.3">
      <c r="J19" s="9">
        <f>B13</f>
        <v>4.5218242167486578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BT- American 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</dc:creator>
  <cp:lastModifiedBy>Jayesh Jain</cp:lastModifiedBy>
  <dcterms:created xsi:type="dcterms:W3CDTF">2015-06-05T18:17:20Z</dcterms:created>
  <dcterms:modified xsi:type="dcterms:W3CDTF">2025-11-03T20:15:31Z</dcterms:modified>
</cp:coreProperties>
</file>