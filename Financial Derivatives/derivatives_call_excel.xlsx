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M\GItHub\"/>
    </mc:Choice>
  </mc:AlternateContent>
  <xr:revisionPtr revIDLastSave="0" documentId="13_ncr:1_{749374D3-022B-4BD1-B09D-4FEA9F0CC9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spriced Call Op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2" l="1"/>
  <c r="K17" i="2"/>
  <c r="N10" i="2"/>
  <c r="N9" i="2"/>
  <c r="K6" i="2"/>
  <c r="N12" i="2" l="1"/>
  <c r="N14" i="2" s="1"/>
  <c r="N34" i="2" l="1"/>
  <c r="N22" i="2"/>
  <c r="N26" i="2" s="1"/>
</calcChain>
</file>

<file path=xl/sharedStrings.xml><?xml version="1.0" encoding="utf-8"?>
<sst xmlns="http://schemas.openxmlformats.org/spreadsheetml/2006/main" count="25" uniqueCount="23">
  <si>
    <t>C</t>
  </si>
  <si>
    <t>k</t>
  </si>
  <si>
    <t>T</t>
  </si>
  <si>
    <t>Arbitrage Check</t>
  </si>
  <si>
    <t>r</t>
  </si>
  <si>
    <r>
      <t>S</t>
    </r>
    <r>
      <rPr>
        <vertAlign val="subscript"/>
        <sz val="11"/>
        <color theme="1"/>
        <rFont val="Calibri"/>
        <family val="2"/>
        <scheme val="minor"/>
      </rPr>
      <t>0</t>
    </r>
  </si>
  <si>
    <r>
      <t>c &gt;= max(S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-K*(e^-rT), 0)</t>
    </r>
  </si>
  <si>
    <t>Buy Call option</t>
  </si>
  <si>
    <t>short stock</t>
  </si>
  <si>
    <t>lend to bank</t>
  </si>
  <si>
    <t>Net Cashflow at t = 0</t>
  </si>
  <si>
    <r>
      <t>when S</t>
    </r>
    <r>
      <rPr>
        <sz val="8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&gt;=k</t>
    </r>
  </si>
  <si>
    <t>Excersise the call</t>
  </si>
  <si>
    <t>Buy Stock</t>
  </si>
  <si>
    <t>close the short position</t>
  </si>
  <si>
    <t>collect from bank</t>
  </si>
  <si>
    <t>Net Cashflow at t= T</t>
  </si>
  <si>
    <r>
      <t>when S</t>
    </r>
    <r>
      <rPr>
        <sz val="8"/>
        <color theme="1"/>
        <rFont val="Calibri"/>
        <family val="2"/>
        <scheme val="minor"/>
      </rPr>
      <t>T&lt;</t>
    </r>
    <r>
      <rPr>
        <sz val="11"/>
        <color theme="1"/>
        <rFont val="Calibri"/>
        <family val="2"/>
        <scheme val="minor"/>
      </rPr>
      <t>k</t>
    </r>
  </si>
  <si>
    <t>call option lapse</t>
  </si>
  <si>
    <t>Buy stock from market (less than k)</t>
  </si>
  <si>
    <t>+ve cashflow as St&lt;k</t>
  </si>
  <si>
    <t xml:space="preserve">Inputs </t>
  </si>
  <si>
    <t>(ST)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</si>
</sst>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at t =&quot;\ 0"/>
    <numFmt numFmtId="165" formatCode="&quot;at t =&quot;\ #.###"/>
    <numFmt numFmtId="166" formatCode="#,##0.0000_);[Red]\(#,##0.0000\)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08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2" borderId="2" xfId="0" applyFill="1" applyBorder="1"/>
    <xf numFmtId="0" fontId="1" fillId="3" borderId="0" xfId="0" applyFont="1" applyFill="1" applyAlignment="1">
      <alignment horizontal="center"/>
    </xf>
    <xf numFmtId="164" fontId="3" fillId="0" borderId="3" xfId="0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 wrapText="1"/>
    </xf>
    <xf numFmtId="165" fontId="3" fillId="0" borderId="3" xfId="0" applyNumberFormat="1" applyFont="1" applyBorder="1"/>
    <xf numFmtId="0" fontId="0" fillId="0" borderId="0" xfId="0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vertical="center"/>
    </xf>
    <xf numFmtId="0" fontId="0" fillId="0" borderId="7" xfId="0" quotePrefix="1" applyBorder="1" applyAlignment="1">
      <alignment horizontal="center" wrapText="1"/>
    </xf>
    <xf numFmtId="0" fontId="0" fillId="0" borderId="11" xfId="0" quotePrefix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Border="1"/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166" fontId="0" fillId="0" borderId="0" xfId="0" applyNumberFormat="1"/>
    <xf numFmtId="166" fontId="0" fillId="0" borderId="8" xfId="0" applyNumberFormat="1" applyBorder="1"/>
    <xf numFmtId="0" fontId="2" fillId="0" borderId="0" xfId="0" quotePrefix="1" applyFont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6823-2D2B-4324-BA5A-C7C09DD4C029}">
  <dimension ref="B2:O38"/>
  <sheetViews>
    <sheetView showGridLines="0" tabSelected="1" zoomScale="91" workbookViewId="0">
      <selection activeCell="G16" sqref="G16"/>
    </sheetView>
  </sheetViews>
  <sheetFormatPr defaultRowHeight="14.4" x14ac:dyDescent="0.3"/>
  <cols>
    <col min="14" max="14" width="9.44140625" bestFit="1" customWidth="1"/>
    <col min="15" max="15" width="11.6640625" bestFit="1" customWidth="1"/>
  </cols>
  <sheetData>
    <row r="2" spans="2:15" ht="15" thickBot="1" x14ac:dyDescent="0.35">
      <c r="B2" s="3" t="s">
        <v>21</v>
      </c>
      <c r="C2" s="3"/>
      <c r="D2" s="3"/>
      <c r="E2" s="3"/>
      <c r="F2" s="3"/>
      <c r="G2" s="3"/>
      <c r="H2" s="3"/>
      <c r="I2" s="3"/>
    </row>
    <row r="3" spans="2:15" ht="15" thickBot="1" x14ac:dyDescent="0.35">
      <c r="B3" s="1" t="s">
        <v>0</v>
      </c>
      <c r="C3" s="2">
        <v>3</v>
      </c>
      <c r="E3" s="1" t="s">
        <v>1</v>
      </c>
      <c r="F3" s="2">
        <v>18</v>
      </c>
      <c r="H3" s="1" t="s">
        <v>2</v>
      </c>
      <c r="I3" s="2">
        <v>2</v>
      </c>
      <c r="K3" s="24" t="s">
        <v>3</v>
      </c>
      <c r="L3" s="25"/>
      <c r="M3" s="26"/>
    </row>
    <row r="4" spans="2:15" ht="16.2" thickBot="1" x14ac:dyDescent="0.4">
      <c r="B4" s="1" t="s">
        <v>4</v>
      </c>
      <c r="C4" s="2">
        <v>0.2</v>
      </c>
      <c r="E4" s="1" t="s">
        <v>5</v>
      </c>
      <c r="F4" s="2">
        <v>17</v>
      </c>
      <c r="K4" s="27" t="s">
        <v>6</v>
      </c>
      <c r="L4" s="28"/>
      <c r="M4" s="29"/>
    </row>
    <row r="5" spans="2:15" x14ac:dyDescent="0.3">
      <c r="K5" s="7"/>
      <c r="L5" s="30"/>
      <c r="M5" s="8"/>
    </row>
    <row r="6" spans="2:15" ht="15" thickBot="1" x14ac:dyDescent="0.35">
      <c r="K6" s="31" t="str">
        <f>IF(C3 &gt;= MAX(F4 - F3*(EXP(-C4*I3)), 0), "Arbitrage does not exist", "ARBITRAGE EXIST")</f>
        <v>ARBITRAGE EXIST</v>
      </c>
      <c r="L6" s="32"/>
      <c r="M6" s="33"/>
    </row>
    <row r="7" spans="2:15" ht="15" thickBot="1" x14ac:dyDescent="0.35"/>
    <row r="8" spans="2:15" ht="15" thickBot="1" x14ac:dyDescent="0.35">
      <c r="K8" s="4">
        <v>0</v>
      </c>
      <c r="L8" s="5"/>
      <c r="M8" s="5"/>
      <c r="N8" s="5"/>
      <c r="O8" s="6"/>
    </row>
    <row r="9" spans="2:15" x14ac:dyDescent="0.3">
      <c r="K9" s="7"/>
      <c r="L9" t="s">
        <v>7</v>
      </c>
      <c r="N9" s="34">
        <f>-C3</f>
        <v>-3</v>
      </c>
      <c r="O9" s="8"/>
    </row>
    <row r="10" spans="2:15" x14ac:dyDescent="0.3">
      <c r="K10" s="7"/>
      <c r="L10" t="s">
        <v>8</v>
      </c>
      <c r="N10" s="34">
        <f>F4</f>
        <v>17</v>
      </c>
      <c r="O10" s="8"/>
    </row>
    <row r="11" spans="2:15" x14ac:dyDescent="0.3">
      <c r="K11" s="7"/>
      <c r="N11" s="34"/>
      <c r="O11" s="8"/>
    </row>
    <row r="12" spans="2:15" x14ac:dyDescent="0.3">
      <c r="K12" s="7"/>
      <c r="L12" t="s">
        <v>9</v>
      </c>
      <c r="N12" s="34">
        <f>-SUM(N9:N10)</f>
        <v>-14</v>
      </c>
      <c r="O12" s="8"/>
    </row>
    <row r="13" spans="2:15" x14ac:dyDescent="0.3">
      <c r="K13" s="7"/>
      <c r="O13" s="8"/>
    </row>
    <row r="14" spans="2:15" ht="15" thickBot="1" x14ac:dyDescent="0.35">
      <c r="K14" s="7"/>
      <c r="N14" s="35">
        <f>SUM(N9:N13)</f>
        <v>0</v>
      </c>
      <c r="O14" s="10" t="s">
        <v>10</v>
      </c>
    </row>
    <row r="15" spans="2:15" ht="15.6" thickTop="1" thickBot="1" x14ac:dyDescent="0.35">
      <c r="K15" s="11"/>
      <c r="L15" s="12"/>
      <c r="M15" s="12"/>
      <c r="N15" s="12"/>
      <c r="O15" s="13"/>
    </row>
    <row r="16" spans="2:15" ht="15" thickBot="1" x14ac:dyDescent="0.35"/>
    <row r="17" spans="11:15" ht="15" thickBot="1" x14ac:dyDescent="0.35">
      <c r="K17" s="14">
        <f>I3</f>
        <v>2</v>
      </c>
      <c r="L17" s="5"/>
      <c r="M17" s="5"/>
      <c r="N17" s="5"/>
      <c r="O17" s="6"/>
    </row>
    <row r="18" spans="11:15" x14ac:dyDescent="0.3">
      <c r="K18" s="7" t="s">
        <v>11</v>
      </c>
      <c r="O18" s="8"/>
    </row>
    <row r="19" spans="11:15" x14ac:dyDescent="0.3">
      <c r="K19" s="7"/>
      <c r="L19" t="s">
        <v>12</v>
      </c>
      <c r="N19" s="34"/>
      <c r="O19" s="8"/>
    </row>
    <row r="20" spans="11:15" x14ac:dyDescent="0.3">
      <c r="K20" s="7"/>
      <c r="L20" t="s">
        <v>13</v>
      </c>
      <c r="N20" s="34">
        <f>-F3</f>
        <v>-18</v>
      </c>
      <c r="O20" s="8"/>
    </row>
    <row r="21" spans="11:15" x14ac:dyDescent="0.3">
      <c r="K21" s="7"/>
      <c r="L21" s="15" t="s">
        <v>14</v>
      </c>
      <c r="N21" s="34"/>
      <c r="O21" s="8"/>
    </row>
    <row r="22" spans="11:15" x14ac:dyDescent="0.3">
      <c r="K22" s="7"/>
      <c r="L22" t="s">
        <v>15</v>
      </c>
      <c r="N22" s="34">
        <f>-$N$12*EXP($C$4*$I$3)</f>
        <v>20.885545766977785</v>
      </c>
      <c r="O22" s="8"/>
    </row>
    <row r="23" spans="11:15" x14ac:dyDescent="0.3">
      <c r="K23" s="7"/>
      <c r="N23" s="34"/>
      <c r="O23" s="8"/>
    </row>
    <row r="24" spans="11:15" x14ac:dyDescent="0.3">
      <c r="K24" s="7"/>
      <c r="N24" s="34"/>
      <c r="O24" s="8"/>
    </row>
    <row r="25" spans="11:15" x14ac:dyDescent="0.3">
      <c r="K25" s="7"/>
      <c r="N25" s="34"/>
      <c r="O25" s="8"/>
    </row>
    <row r="26" spans="11:15" ht="15" thickBot="1" x14ac:dyDescent="0.35">
      <c r="K26" s="7"/>
      <c r="N26" s="35">
        <f>SUM(N20:N22)</f>
        <v>2.8855457669777849</v>
      </c>
      <c r="O26" s="10" t="s">
        <v>16</v>
      </c>
    </row>
    <row r="27" spans="11:15" ht="15" thickTop="1" x14ac:dyDescent="0.3">
      <c r="K27" s="16"/>
      <c r="L27" s="17"/>
      <c r="M27" s="17"/>
      <c r="N27" s="17"/>
      <c r="O27" s="18"/>
    </row>
    <row r="28" spans="11:15" x14ac:dyDescent="0.3">
      <c r="K28" s="7"/>
      <c r="O28" s="8"/>
    </row>
    <row r="29" spans="11:15" x14ac:dyDescent="0.3">
      <c r="K29" s="7" t="s">
        <v>17</v>
      </c>
      <c r="O29" s="8"/>
    </row>
    <row r="30" spans="11:15" x14ac:dyDescent="0.3">
      <c r="K30" s="7"/>
      <c r="L30" t="s">
        <v>18</v>
      </c>
      <c r="O30" s="8"/>
    </row>
    <row r="31" spans="11:15" x14ac:dyDescent="0.3">
      <c r="K31" s="7"/>
      <c r="L31" s="19" t="s">
        <v>19</v>
      </c>
      <c r="M31" s="19"/>
      <c r="N31" s="36" t="s">
        <v>22</v>
      </c>
      <c r="O31" s="8"/>
    </row>
    <row r="32" spans="11:15" x14ac:dyDescent="0.3">
      <c r="K32" s="7"/>
      <c r="L32" s="19"/>
      <c r="M32" s="19"/>
      <c r="N32" s="37"/>
      <c r="O32" s="8"/>
    </row>
    <row r="33" spans="11:15" x14ac:dyDescent="0.3">
      <c r="K33" s="7"/>
      <c r="L33" s="15" t="s">
        <v>14</v>
      </c>
      <c r="M33" s="20"/>
      <c r="N33" s="21"/>
      <c r="O33" s="8"/>
    </row>
    <row r="34" spans="11:15" x14ac:dyDescent="0.3">
      <c r="K34" s="7"/>
      <c r="L34" t="s">
        <v>15</v>
      </c>
      <c r="N34" s="34">
        <f>-$N$12*EXP($C$4*$I$3)</f>
        <v>20.885545766977785</v>
      </c>
      <c r="O34" s="8"/>
    </row>
    <row r="35" spans="11:15" x14ac:dyDescent="0.3">
      <c r="K35" s="7"/>
      <c r="O35" s="8"/>
    </row>
    <row r="36" spans="11:15" x14ac:dyDescent="0.3">
      <c r="K36" s="7"/>
      <c r="O36" s="8"/>
    </row>
    <row r="37" spans="11:15" ht="15" thickBot="1" x14ac:dyDescent="0.35">
      <c r="K37" s="7"/>
      <c r="N37" s="9"/>
      <c r="O37" s="22" t="s">
        <v>20</v>
      </c>
    </row>
    <row r="38" spans="11:15" ht="15.6" thickTop="1" thickBot="1" x14ac:dyDescent="0.35">
      <c r="K38" s="11"/>
      <c r="L38" s="12"/>
      <c r="M38" s="12"/>
      <c r="N38" s="12"/>
      <c r="O38" s="23"/>
    </row>
  </sheetData>
  <mergeCells count="9">
    <mergeCell ref="B2:I2"/>
    <mergeCell ref="K3:M3"/>
    <mergeCell ref="K4:M4"/>
    <mergeCell ref="K6:M6"/>
    <mergeCell ref="O14:O15"/>
    <mergeCell ref="O26:O27"/>
    <mergeCell ref="L31:M32"/>
    <mergeCell ref="N31:N32"/>
    <mergeCell ref="O37:O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Mispriced Call 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Jayesh</dc:creator>
  <cp:lastModifiedBy>Jayesh Jain</cp:lastModifiedBy>
  <dcterms:created xsi:type="dcterms:W3CDTF">2015-06-05T18:17:20Z</dcterms:created>
  <dcterms:modified xsi:type="dcterms:W3CDTF">2025-11-03T20:02:37Z</dcterms:modified>
</cp:coreProperties>
</file>