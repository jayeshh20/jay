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GIM\GItHub\"/>
    </mc:Choice>
  </mc:AlternateContent>
  <xr:revisionPtr revIDLastSave="0" documentId="13_ncr:1_{88FA66D5-D397-4386-BADC-AA8825BC74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spriced Put Op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0" i="2" l="1"/>
  <c r="K17" i="2"/>
  <c r="N10" i="2"/>
  <c r="N12" i="2" s="1"/>
  <c r="N9" i="2"/>
  <c r="N14" i="2" s="1"/>
  <c r="K6" i="2"/>
  <c r="N23" i="2" l="1"/>
  <c r="N32" i="2"/>
  <c r="N35" i="2"/>
</calcChain>
</file>

<file path=xl/sharedStrings.xml><?xml version="1.0" encoding="utf-8"?>
<sst xmlns="http://schemas.openxmlformats.org/spreadsheetml/2006/main" count="23" uniqueCount="22">
  <si>
    <t>Inputs</t>
  </si>
  <si>
    <t>p</t>
  </si>
  <si>
    <t>k</t>
  </si>
  <si>
    <t>T</t>
  </si>
  <si>
    <t>Arbitrage Check</t>
  </si>
  <si>
    <t>r</t>
  </si>
  <si>
    <r>
      <t>S</t>
    </r>
    <r>
      <rPr>
        <sz val="8"/>
        <color theme="1"/>
        <rFont val="Calibri"/>
        <family val="2"/>
        <scheme val="minor"/>
      </rPr>
      <t>0</t>
    </r>
  </si>
  <si>
    <t>p &gt;= max(K*(e^-rT) - S0, 0)</t>
  </si>
  <si>
    <t>long Put option</t>
  </si>
  <si>
    <t>Long stock</t>
  </si>
  <si>
    <t>borrow from bank</t>
  </si>
  <si>
    <r>
      <t>when S</t>
    </r>
    <r>
      <rPr>
        <sz val="8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&gt;=k</t>
    </r>
  </si>
  <si>
    <t>Put option lapse</t>
  </si>
  <si>
    <t>Sell stock in market (more than k)</t>
  </si>
  <si>
    <r>
      <t>S</t>
    </r>
    <r>
      <rPr>
        <sz val="8"/>
        <color theme="1"/>
        <rFont val="Calibri"/>
        <family val="2"/>
        <scheme val="minor"/>
      </rPr>
      <t>T</t>
    </r>
  </si>
  <si>
    <t>close the long position</t>
  </si>
  <si>
    <t>repay bank</t>
  </si>
  <si>
    <t>+ve cashflow</t>
  </si>
  <si>
    <r>
      <t>when S</t>
    </r>
    <r>
      <rPr>
        <sz val="8"/>
        <color theme="1"/>
        <rFont val="Calibri"/>
        <family val="2"/>
        <scheme val="minor"/>
      </rPr>
      <t>T&lt;</t>
    </r>
    <r>
      <rPr>
        <sz val="11"/>
        <color theme="1"/>
        <rFont val="Calibri"/>
        <family val="2"/>
        <scheme val="minor"/>
      </rPr>
      <t>k</t>
    </r>
  </si>
  <si>
    <t>Exercise Put option</t>
  </si>
  <si>
    <t>short a stock</t>
  </si>
  <si>
    <t>close the long posistion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</si>
</sst>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at t =&quot;\ 0"/>
    <numFmt numFmtId="165" formatCode="#,##0.0000_);[Red]\(#,##0.0000\)"/>
    <numFmt numFmtId="166" formatCode="&quot;at t =&quot;\ 0.###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0" fontId="0" fillId="3" borderId="2" xfId="0" applyFill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4" fontId="2" fillId="0" borderId="11" xfId="0" applyNumberFormat="1" applyFont="1" applyBorder="1"/>
    <xf numFmtId="0" fontId="0" fillId="0" borderId="4" xfId="0" applyBorder="1"/>
    <xf numFmtId="0" fontId="0" fillId="0" borderId="5" xfId="0" applyBorder="1"/>
    <xf numFmtId="165" fontId="0" fillId="0" borderId="0" xfId="0" applyNumberFormat="1"/>
    <xf numFmtId="165" fontId="0" fillId="0" borderId="12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6" fontId="2" fillId="0" borderId="11" xfId="0" applyNumberFormat="1" applyFont="1" applyBorder="1"/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/>
    </xf>
    <xf numFmtId="0" fontId="0" fillId="0" borderId="12" xfId="0" applyBorder="1"/>
    <xf numFmtId="0" fontId="0" fillId="0" borderId="7" xfId="0" quotePrefix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58A9F-CCB8-4F1A-BA52-45511FAE7321}">
  <dimension ref="B2:O36"/>
  <sheetViews>
    <sheetView tabSelected="1" zoomScale="99" workbookViewId="0">
      <selection activeCell="G22" sqref="G22"/>
    </sheetView>
  </sheetViews>
  <sheetFormatPr defaultRowHeight="14.4" x14ac:dyDescent="0.3"/>
  <cols>
    <col min="4" max="4" width="3.77734375" customWidth="1"/>
    <col min="7" max="7" width="3.6640625" customWidth="1"/>
    <col min="10" max="10" width="3.88671875" customWidth="1"/>
    <col min="13" max="13" width="10.109375" customWidth="1"/>
    <col min="15" max="15" width="12" bestFit="1" customWidth="1"/>
  </cols>
  <sheetData>
    <row r="2" spans="2:15" ht="15" thickBot="1" x14ac:dyDescent="0.35">
      <c r="B2" s="1" t="s">
        <v>0</v>
      </c>
      <c r="C2" s="1"/>
      <c r="D2" s="1"/>
      <c r="E2" s="1"/>
      <c r="F2" s="1"/>
      <c r="G2" s="1"/>
      <c r="H2" s="1"/>
      <c r="I2" s="1"/>
    </row>
    <row r="3" spans="2:15" ht="15" thickBot="1" x14ac:dyDescent="0.35">
      <c r="B3" s="2" t="s">
        <v>1</v>
      </c>
      <c r="C3" s="3">
        <v>1</v>
      </c>
      <c r="E3" s="2" t="s">
        <v>2</v>
      </c>
      <c r="F3" s="3">
        <v>40</v>
      </c>
      <c r="H3" s="2" t="s">
        <v>3</v>
      </c>
      <c r="I3" s="3">
        <v>0.5</v>
      </c>
      <c r="K3" s="4" t="s">
        <v>4</v>
      </c>
      <c r="L3" s="5"/>
      <c r="M3" s="6"/>
    </row>
    <row r="4" spans="2:15" ht="15" thickBot="1" x14ac:dyDescent="0.35">
      <c r="B4" s="2" t="s">
        <v>5</v>
      </c>
      <c r="C4" s="3">
        <v>0.05</v>
      </c>
      <c r="E4" s="2" t="s">
        <v>6</v>
      </c>
      <c r="F4" s="3">
        <v>37</v>
      </c>
      <c r="K4" s="7" t="s">
        <v>7</v>
      </c>
      <c r="L4" s="8"/>
      <c r="M4" s="9"/>
    </row>
    <row r="5" spans="2:15" x14ac:dyDescent="0.3">
      <c r="K5" s="10"/>
      <c r="M5" s="11"/>
    </row>
    <row r="6" spans="2:15" ht="15" thickBot="1" x14ac:dyDescent="0.35">
      <c r="K6" s="12" t="str">
        <f>IF(C3 &gt;= MAX(F3*(EXP(-C4*I3)) - F4, 0), "Arbitrage does not exist", "ARBITRAGE EXIST")</f>
        <v>ARBITRAGE EXIST</v>
      </c>
      <c r="L6" s="13"/>
      <c r="M6" s="14"/>
    </row>
    <row r="7" spans="2:15" ht="15" thickBot="1" x14ac:dyDescent="0.35"/>
    <row r="8" spans="2:15" ht="15" thickBot="1" x14ac:dyDescent="0.35">
      <c r="K8" s="15">
        <v>0</v>
      </c>
      <c r="L8" s="16"/>
      <c r="M8" s="16"/>
      <c r="N8" s="16"/>
      <c r="O8" s="17"/>
    </row>
    <row r="9" spans="2:15" x14ac:dyDescent="0.3">
      <c r="K9" s="10"/>
      <c r="L9" t="s">
        <v>8</v>
      </c>
      <c r="N9" s="18">
        <f>-C3</f>
        <v>-1</v>
      </c>
      <c r="O9" s="11"/>
    </row>
    <row r="10" spans="2:15" x14ac:dyDescent="0.3">
      <c r="K10" s="10"/>
      <c r="L10" t="s">
        <v>9</v>
      </c>
      <c r="N10" s="18">
        <f>-F4</f>
        <v>-37</v>
      </c>
      <c r="O10" s="11"/>
    </row>
    <row r="11" spans="2:15" x14ac:dyDescent="0.3">
      <c r="K11" s="10"/>
      <c r="N11" s="18"/>
      <c r="O11" s="11"/>
    </row>
    <row r="12" spans="2:15" x14ac:dyDescent="0.3">
      <c r="K12" s="10"/>
      <c r="L12" t="s">
        <v>10</v>
      </c>
      <c r="N12" s="18">
        <f>-SUM(N9:N10)</f>
        <v>38</v>
      </c>
      <c r="O12" s="11"/>
    </row>
    <row r="13" spans="2:15" x14ac:dyDescent="0.3">
      <c r="K13" s="10"/>
      <c r="O13" s="11"/>
    </row>
    <row r="14" spans="2:15" ht="15" thickBot="1" x14ac:dyDescent="0.35">
      <c r="K14" s="10"/>
      <c r="N14" s="19">
        <f>SUM(N9:N13)</f>
        <v>0</v>
      </c>
      <c r="O14" s="11"/>
    </row>
    <row r="15" spans="2:15" ht="15.6" thickTop="1" thickBot="1" x14ac:dyDescent="0.35">
      <c r="K15" s="20"/>
      <c r="L15" s="21"/>
      <c r="M15" s="21"/>
      <c r="N15" s="21"/>
      <c r="O15" s="22"/>
    </row>
    <row r="16" spans="2:15" ht="15" thickBot="1" x14ac:dyDescent="0.35"/>
    <row r="17" spans="11:15" ht="15" thickBot="1" x14ac:dyDescent="0.35">
      <c r="K17" s="23">
        <f>I3</f>
        <v>0.5</v>
      </c>
      <c r="L17" s="16"/>
      <c r="M17" s="16"/>
      <c r="N17" s="16"/>
      <c r="O17" s="17"/>
    </row>
    <row r="18" spans="11:15" x14ac:dyDescent="0.3">
      <c r="K18" s="10" t="s">
        <v>11</v>
      </c>
      <c r="O18" s="11"/>
    </row>
    <row r="19" spans="11:15" x14ac:dyDescent="0.3">
      <c r="K19" s="10"/>
      <c r="L19" t="s">
        <v>12</v>
      </c>
      <c r="O19" s="11"/>
    </row>
    <row r="20" spans="11:15" x14ac:dyDescent="0.3">
      <c r="K20" s="10"/>
      <c r="L20" s="24" t="s">
        <v>13</v>
      </c>
      <c r="M20" s="24"/>
      <c r="N20" s="25" t="s">
        <v>14</v>
      </c>
      <c r="O20" s="11"/>
    </row>
    <row r="21" spans="11:15" x14ac:dyDescent="0.3">
      <c r="K21" s="10"/>
      <c r="L21" s="24"/>
      <c r="M21" s="24"/>
      <c r="N21" s="25"/>
      <c r="O21" s="11"/>
    </row>
    <row r="22" spans="11:15" x14ac:dyDescent="0.3">
      <c r="K22" s="10"/>
      <c r="L22" t="s">
        <v>15</v>
      </c>
      <c r="O22" s="11"/>
    </row>
    <row r="23" spans="11:15" x14ac:dyDescent="0.3">
      <c r="K23" s="10"/>
      <c r="L23" t="s">
        <v>16</v>
      </c>
      <c r="N23" s="18">
        <f>-$N$12*EXP($C$4*$I$3)</f>
        <v>-38.961974579928295</v>
      </c>
      <c r="O23" s="11"/>
    </row>
    <row r="24" spans="11:15" x14ac:dyDescent="0.3">
      <c r="K24" s="10"/>
      <c r="O24" s="11"/>
    </row>
    <row r="25" spans="11:15" ht="15" thickBot="1" x14ac:dyDescent="0.35">
      <c r="K25" s="10"/>
      <c r="N25" s="26"/>
      <c r="O25" s="27" t="s">
        <v>17</v>
      </c>
    </row>
    <row r="26" spans="11:15" ht="15" thickTop="1" x14ac:dyDescent="0.3">
      <c r="K26" s="28"/>
      <c r="L26" s="29"/>
      <c r="M26" s="29"/>
      <c r="N26" s="29"/>
      <c r="O26" s="30"/>
    </row>
    <row r="27" spans="11:15" x14ac:dyDescent="0.3">
      <c r="K27" s="10"/>
      <c r="O27" s="11"/>
    </row>
    <row r="28" spans="11:15" x14ac:dyDescent="0.3">
      <c r="K28" s="10" t="s">
        <v>18</v>
      </c>
      <c r="O28" s="11"/>
    </row>
    <row r="29" spans="11:15" x14ac:dyDescent="0.3">
      <c r="K29" s="10"/>
      <c r="L29" t="s">
        <v>19</v>
      </c>
      <c r="N29" s="18"/>
      <c r="O29" s="11"/>
    </row>
    <row r="30" spans="11:15" x14ac:dyDescent="0.3">
      <c r="K30" s="10"/>
      <c r="L30" t="s">
        <v>20</v>
      </c>
      <c r="M30" s="31"/>
      <c r="N30" s="18">
        <f>F3</f>
        <v>40</v>
      </c>
      <c r="O30" s="11"/>
    </row>
    <row r="31" spans="11:15" x14ac:dyDescent="0.3">
      <c r="K31" s="10"/>
      <c r="L31" t="s">
        <v>21</v>
      </c>
      <c r="M31" s="31"/>
      <c r="N31" s="18"/>
      <c r="O31" s="11"/>
    </row>
    <row r="32" spans="11:15" x14ac:dyDescent="0.3">
      <c r="K32" s="10"/>
      <c r="L32" t="s">
        <v>16</v>
      </c>
      <c r="N32" s="18">
        <f>-$N$12*EXP($C$4*$I$3)</f>
        <v>-38.961974579928295</v>
      </c>
      <c r="O32" s="11"/>
    </row>
    <row r="33" spans="11:15" x14ac:dyDescent="0.3">
      <c r="K33" s="10"/>
      <c r="N33" s="18"/>
      <c r="O33" s="11"/>
    </row>
    <row r="34" spans="11:15" x14ac:dyDescent="0.3">
      <c r="K34" s="10"/>
      <c r="O34" s="11"/>
    </row>
    <row r="35" spans="11:15" ht="15" thickBot="1" x14ac:dyDescent="0.35">
      <c r="K35" s="10"/>
      <c r="N35" s="19">
        <f>SUM(N29:N34)</f>
        <v>1.0380254200717047</v>
      </c>
      <c r="O35" s="27"/>
    </row>
    <row r="36" spans="11:15" ht="15.6" thickTop="1" thickBot="1" x14ac:dyDescent="0.35">
      <c r="K36" s="20"/>
      <c r="L36" s="21"/>
      <c r="M36" s="21"/>
      <c r="N36" s="21"/>
      <c r="O36" s="22"/>
    </row>
  </sheetData>
  <mergeCells count="6">
    <mergeCell ref="B2:I2"/>
    <mergeCell ref="K3:M3"/>
    <mergeCell ref="K4:M4"/>
    <mergeCell ref="K6:M6"/>
    <mergeCell ref="L20:M21"/>
    <mergeCell ref="N20:N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Mispriced Put 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</dc:creator>
  <cp:lastModifiedBy>Jayesh Jain</cp:lastModifiedBy>
  <dcterms:created xsi:type="dcterms:W3CDTF">2015-06-05T18:17:20Z</dcterms:created>
  <dcterms:modified xsi:type="dcterms:W3CDTF">2025-11-03T20:05:02Z</dcterms:modified>
</cp:coreProperties>
</file>