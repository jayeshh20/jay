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IM\GItHub\"/>
    </mc:Choice>
  </mc:AlternateContent>
  <xr:revisionPtr revIDLastSave="0" documentId="13_ncr:1_{D803DD2B-AB2D-4416-8E81-9228F13A0E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T- Euro Pu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D11" i="2" s="1"/>
  <c r="C6" i="2"/>
  <c r="F12" i="2" l="1"/>
  <c r="F13" i="2" s="1"/>
  <c r="F9" i="2"/>
  <c r="F10" i="2" s="1"/>
  <c r="D14" i="2"/>
  <c r="F15" i="2" s="1"/>
  <c r="F16" i="2" s="1"/>
  <c r="H16" i="2" s="1"/>
  <c r="H13" i="2" l="1"/>
  <c r="H18" i="2" s="1"/>
  <c r="B18" i="2" s="1"/>
  <c r="D15" i="2"/>
  <c r="D12" i="2"/>
  <c r="H10" i="2"/>
  <c r="B14" i="2" l="1"/>
  <c r="J19" i="2" s="1"/>
</calcChain>
</file>

<file path=xl/sharedStrings.xml><?xml version="1.0" encoding="utf-8"?>
<sst xmlns="http://schemas.openxmlformats.org/spreadsheetml/2006/main" count="7" uniqueCount="7">
  <si>
    <t>k</t>
  </si>
  <si>
    <t>T</t>
  </si>
  <si>
    <t>u</t>
  </si>
  <si>
    <t>r</t>
  </si>
  <si>
    <r>
      <t>S</t>
    </r>
    <r>
      <rPr>
        <sz val="8"/>
        <color theme="1"/>
        <rFont val="Calibri"/>
        <family val="2"/>
        <scheme val="minor"/>
      </rPr>
      <t>0</t>
    </r>
  </si>
  <si>
    <t>d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</si>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</sst>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he Price of the Put option is&quot;\ #.####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808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3" borderId="2" xfId="0" applyFill="1" applyBorder="1"/>
    <xf numFmtId="0" fontId="0" fillId="0" borderId="0" xfId="0" applyAlignment="1">
      <alignment horizontal="center" vertical="center"/>
    </xf>
    <xf numFmtId="0" fontId="0" fillId="0" borderId="3" xfId="0" applyBorder="1"/>
    <xf numFmtId="0" fontId="2" fillId="4" borderId="0" xfId="0" applyFont="1" applyFill="1" applyAlignment="1">
      <alignment horizontal="center" vertical="center"/>
    </xf>
    <xf numFmtId="0" fontId="0" fillId="0" borderId="4" xfId="0" applyBorder="1"/>
    <xf numFmtId="0" fontId="0" fillId="0" borderId="5" xfId="0" applyBorder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</xdr:colOff>
      <xdr:row>10</xdr:row>
      <xdr:rowOff>144780</xdr:rowOff>
    </xdr:from>
    <xdr:to>
      <xdr:col>2</xdr:col>
      <xdr:colOff>563880</xdr:colOff>
      <xdr:row>13</xdr:row>
      <xdr:rowOff>129540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D33B9F1-9B23-4960-B84C-536403B294C2}"/>
            </a:ext>
          </a:extLst>
        </xdr:cNvPr>
        <xdr:cNvGrpSpPr/>
      </xdr:nvGrpSpPr>
      <xdr:grpSpPr>
        <a:xfrm>
          <a:off x="1062266" y="2002549"/>
          <a:ext cx="502920" cy="532644"/>
          <a:chOff x="1280160" y="1242060"/>
          <a:chExt cx="502920" cy="533400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A23D0BBF-F769-9325-E657-29A56849CA4B}"/>
              </a:ext>
            </a:extLst>
          </xdr:cNvPr>
          <xdr:cNvCxnSpPr/>
        </xdr:nvCxnSpPr>
        <xdr:spPr>
          <a:xfrm flipV="1">
            <a:off x="1280160" y="1242060"/>
            <a:ext cx="502920" cy="2819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BF32EA19-BED2-79B7-37A3-7129DFCEC04D}"/>
              </a:ext>
            </a:extLst>
          </xdr:cNvPr>
          <xdr:cNvCxnSpPr/>
        </xdr:nvCxnSpPr>
        <xdr:spPr>
          <a:xfrm>
            <a:off x="1295400" y="1531620"/>
            <a:ext cx="472440" cy="2438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45720</xdr:colOff>
      <xdr:row>12</xdr:row>
      <xdr:rowOff>7620</xdr:rowOff>
    </xdr:from>
    <xdr:to>
      <xdr:col>4</xdr:col>
      <xdr:colOff>548640</xdr:colOff>
      <xdr:row>14</xdr:row>
      <xdr:rowOff>175260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17D3035-10D3-4CA4-9179-F87A2D14D5CF}"/>
            </a:ext>
          </a:extLst>
        </xdr:cNvPr>
        <xdr:cNvGrpSpPr/>
      </xdr:nvGrpSpPr>
      <xdr:grpSpPr>
        <a:xfrm>
          <a:off x="2281340" y="2230645"/>
          <a:ext cx="502920" cy="532896"/>
          <a:chOff x="1280160" y="1242060"/>
          <a:chExt cx="502920" cy="533400"/>
        </a:xfrm>
      </xdr:grpSpPr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5C2CEC8E-52A4-A831-7971-656FF8D280B9}"/>
              </a:ext>
            </a:extLst>
          </xdr:cNvPr>
          <xdr:cNvCxnSpPr/>
        </xdr:nvCxnSpPr>
        <xdr:spPr>
          <a:xfrm flipV="1">
            <a:off x="1280160" y="1242060"/>
            <a:ext cx="502920" cy="2819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Straight Arrow Connector 6">
            <a:extLst>
              <a:ext uri="{FF2B5EF4-FFF2-40B4-BE49-F238E27FC236}">
                <a16:creationId xmlns:a16="http://schemas.microsoft.com/office/drawing/2014/main" id="{EF83DB50-1E33-1D0A-F8AA-6AAFE1FF04A9}"/>
              </a:ext>
            </a:extLst>
          </xdr:cNvPr>
          <xdr:cNvCxnSpPr/>
        </xdr:nvCxnSpPr>
        <xdr:spPr>
          <a:xfrm>
            <a:off x="1295400" y="1531620"/>
            <a:ext cx="472440" cy="2438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83820</xdr:colOff>
      <xdr:row>8</xdr:row>
      <xdr:rowOff>160020</xdr:rowOff>
    </xdr:from>
    <xdr:to>
      <xdr:col>4</xdr:col>
      <xdr:colOff>586740</xdr:colOff>
      <xdr:row>11</xdr:row>
      <xdr:rowOff>144780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C183841C-FEC7-473F-B180-D8C8EBC8D591}"/>
            </a:ext>
          </a:extLst>
        </xdr:cNvPr>
        <xdr:cNvGrpSpPr/>
      </xdr:nvGrpSpPr>
      <xdr:grpSpPr>
        <a:xfrm>
          <a:off x="2319440" y="1652532"/>
          <a:ext cx="502920" cy="532645"/>
          <a:chOff x="1280160" y="1242060"/>
          <a:chExt cx="502920" cy="533400"/>
        </a:xfrm>
      </xdr:grpSpPr>
      <xdr:cxnSp macro="">
        <xdr:nvCxnSpPr>
          <xdr:cNvPr id="9" name="Straight Arrow Connector 8">
            <a:extLst>
              <a:ext uri="{FF2B5EF4-FFF2-40B4-BE49-F238E27FC236}">
                <a16:creationId xmlns:a16="http://schemas.microsoft.com/office/drawing/2014/main" id="{58D27384-990E-4353-1FCF-62765C3F3B19}"/>
              </a:ext>
            </a:extLst>
          </xdr:cNvPr>
          <xdr:cNvCxnSpPr/>
        </xdr:nvCxnSpPr>
        <xdr:spPr>
          <a:xfrm flipV="1">
            <a:off x="1280160" y="1242060"/>
            <a:ext cx="502920" cy="2819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9B8C569C-6551-2A53-756A-90B831D20CE9}"/>
              </a:ext>
            </a:extLst>
          </xdr:cNvPr>
          <xdr:cNvCxnSpPr/>
        </xdr:nvCxnSpPr>
        <xdr:spPr>
          <a:xfrm>
            <a:off x="1295400" y="1531620"/>
            <a:ext cx="472440" cy="2438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74519-D1C7-428E-82F2-07992865FC57}">
  <dimension ref="B2:J19"/>
  <sheetViews>
    <sheetView showGridLines="0" tabSelected="1" zoomScale="121" workbookViewId="0">
      <selection activeCell="J9" sqref="J9"/>
    </sheetView>
  </sheetViews>
  <sheetFormatPr defaultRowHeight="14.4" x14ac:dyDescent="0.3"/>
  <cols>
    <col min="1" max="1" width="5.5546875" customWidth="1"/>
    <col min="2" max="4" width="9" bestFit="1" customWidth="1"/>
    <col min="6" max="6" width="9" bestFit="1" customWidth="1"/>
    <col min="8" max="9" width="9" bestFit="1" customWidth="1"/>
    <col min="10" max="10" width="31.77734375" bestFit="1" customWidth="1"/>
  </cols>
  <sheetData>
    <row r="2" spans="2:9" ht="15" thickBot="1" x14ac:dyDescent="0.35"/>
    <row r="3" spans="2:9" ht="15" thickBot="1" x14ac:dyDescent="0.35">
      <c r="B3" s="1" t="s">
        <v>0</v>
      </c>
      <c r="C3" s="2">
        <v>21</v>
      </c>
      <c r="E3" s="1" t="s">
        <v>1</v>
      </c>
      <c r="F3" s="2">
        <v>0.25</v>
      </c>
      <c r="H3" s="1" t="s">
        <v>2</v>
      </c>
      <c r="I3" s="2">
        <v>1.1000000000000001</v>
      </c>
    </row>
    <row r="4" spans="2:9" ht="15" thickBot="1" x14ac:dyDescent="0.35">
      <c r="B4" s="1" t="s">
        <v>3</v>
      </c>
      <c r="C4" s="2">
        <v>0.04</v>
      </c>
      <c r="E4" s="1" t="s">
        <v>4</v>
      </c>
      <c r="F4" s="2">
        <v>20</v>
      </c>
      <c r="H4" s="1" t="s">
        <v>5</v>
      </c>
      <c r="I4" s="2">
        <v>0.9</v>
      </c>
    </row>
    <row r="5" spans="2:9" ht="15" thickBot="1" x14ac:dyDescent="0.35"/>
    <row r="6" spans="2:9" ht="15" thickBot="1" x14ac:dyDescent="0.35">
      <c r="B6" s="1" t="s">
        <v>6</v>
      </c>
      <c r="C6" s="3">
        <f>(EXP(C4*F3)-I4)/(I3-I4)</f>
        <v>0.55025083542083941</v>
      </c>
    </row>
    <row r="9" spans="2:9" x14ac:dyDescent="0.3">
      <c r="B9" s="4"/>
      <c r="C9" s="4"/>
      <c r="D9" s="4"/>
      <c r="E9" s="4"/>
      <c r="F9" s="4">
        <f>D11*I3</f>
        <v>24.200000000000003</v>
      </c>
      <c r="G9" s="4"/>
      <c r="H9" s="5"/>
    </row>
    <row r="10" spans="2:9" x14ac:dyDescent="0.3">
      <c r="B10" s="4"/>
      <c r="C10" s="4"/>
      <c r="D10" s="4"/>
      <c r="E10" s="4"/>
      <c r="F10" s="6">
        <f>IF($C$3-F9&gt;0,$C$3-F9,0)</f>
        <v>0</v>
      </c>
      <c r="G10" s="4"/>
      <c r="H10" s="5">
        <f>F10*C6^2</f>
        <v>0</v>
      </c>
    </row>
    <row r="11" spans="2:9" x14ac:dyDescent="0.3">
      <c r="B11" s="4"/>
      <c r="C11" s="4"/>
      <c r="D11" s="4">
        <f>B13*I3</f>
        <v>22</v>
      </c>
      <c r="E11" s="4"/>
      <c r="F11" s="4"/>
      <c r="G11" s="4"/>
      <c r="H11" s="5"/>
    </row>
    <row r="12" spans="2:9" x14ac:dyDescent="0.3">
      <c r="B12" s="4"/>
      <c r="C12" s="4"/>
      <c r="D12" s="6">
        <f>(F10*$C$6+F13*(1-$C$6))*EXP(-$C$4*$F$3)</f>
        <v>0.53432890274450995</v>
      </c>
      <c r="E12" s="4"/>
      <c r="F12" s="4">
        <f>D11*I4</f>
        <v>19.8</v>
      </c>
      <c r="G12" s="4"/>
      <c r="H12" s="5"/>
    </row>
    <row r="13" spans="2:9" x14ac:dyDescent="0.3">
      <c r="B13" s="4">
        <f>F4</f>
        <v>20</v>
      </c>
      <c r="C13" s="4"/>
      <c r="D13" s="4"/>
      <c r="E13" s="4"/>
      <c r="F13" s="6">
        <f>IF($C$3-F12&gt;0,$C$3-F12,0)</f>
        <v>1.1999999999999993</v>
      </c>
      <c r="G13" s="4"/>
      <c r="H13" s="5">
        <f>F13*C6*(1-C6)</f>
        <v>0.29696982424740909</v>
      </c>
    </row>
    <row r="14" spans="2:9" x14ac:dyDescent="0.3">
      <c r="B14" s="6">
        <f>(D12*$C$6+D15*(1-$C$6))*EXP(-$C$4*$F$3)</f>
        <v>1.5338701098394094</v>
      </c>
      <c r="C14" s="4"/>
      <c r="D14" s="4">
        <f>B13*I4</f>
        <v>18</v>
      </c>
      <c r="E14" s="4"/>
      <c r="F14" s="4"/>
      <c r="G14" s="4"/>
      <c r="H14" s="5"/>
    </row>
    <row r="15" spans="2:9" x14ac:dyDescent="0.3">
      <c r="B15" s="4"/>
      <c r="C15" s="4"/>
      <c r="D15" s="6">
        <f>(F13*$C$6+F16*(1-$C$6))*EXP(-$C$4*$F$3)</f>
        <v>2.7910465087325327</v>
      </c>
      <c r="E15" s="4"/>
      <c r="F15" s="4">
        <f>D14*I4</f>
        <v>16.2</v>
      </c>
      <c r="G15" s="4"/>
      <c r="H15" s="5"/>
    </row>
    <row r="16" spans="2:9" x14ac:dyDescent="0.3">
      <c r="B16" s="4"/>
      <c r="C16" s="4"/>
      <c r="D16" s="4"/>
      <c r="E16" s="4"/>
      <c r="F16" s="6">
        <f>IF($C$3-F15&gt;0,$C$3-F15,0)</f>
        <v>4.8000000000000007</v>
      </c>
      <c r="G16" s="4"/>
      <c r="H16" s="5">
        <f>F16*((1-C6)^2)</f>
        <v>0.9709166929903339</v>
      </c>
    </row>
    <row r="17" spans="2:10" x14ac:dyDescent="0.3">
      <c r="B17" s="4"/>
      <c r="C17" s="4"/>
      <c r="D17" s="4"/>
      <c r="E17" s="4"/>
      <c r="F17" s="4"/>
      <c r="G17" s="4"/>
      <c r="H17" s="5"/>
    </row>
    <row r="18" spans="2:10" x14ac:dyDescent="0.3">
      <c r="B18" s="7">
        <f>H18*EXP(-2*F3*C4)</f>
        <v>1.5338701098394087</v>
      </c>
      <c r="C18" s="7"/>
      <c r="D18" s="7"/>
      <c r="E18" s="7"/>
      <c r="F18" s="7"/>
      <c r="G18" s="7"/>
      <c r="H18" s="8">
        <f>SUM(H16,2*H13,H10)</f>
        <v>1.564856341485152</v>
      </c>
    </row>
    <row r="19" spans="2:10" x14ac:dyDescent="0.3">
      <c r="J19" s="9">
        <f>B14</f>
        <v>1.5338701098394094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BT- Euro 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</dc:creator>
  <cp:lastModifiedBy>Jayesh Jain</cp:lastModifiedBy>
  <dcterms:created xsi:type="dcterms:W3CDTF">2015-06-05T18:17:20Z</dcterms:created>
  <dcterms:modified xsi:type="dcterms:W3CDTF">2025-11-03T20:14:35Z</dcterms:modified>
</cp:coreProperties>
</file>