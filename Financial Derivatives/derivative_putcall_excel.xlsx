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IM\GitHub\"/>
    </mc:Choice>
  </mc:AlternateContent>
  <xr:revisionPtr revIDLastSave="0" documentId="13_ncr:1_{D650D544-446E-470E-B623-BB8CBD412BAD}" xr6:coauthVersionLast="47" xr6:coauthVersionMax="47" xr10:uidLastSave="{00000000-0000-0000-0000-000000000000}"/>
  <bookViews>
    <workbookView xWindow="11328" yWindow="0" windowWidth="11712" windowHeight="12240" xr2:uid="{00000000-000D-0000-FFFF-FFFF00000000}"/>
  </bookViews>
  <sheets>
    <sheet name="Put-Call Parit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E9" i="2"/>
  <c r="O18" i="2"/>
  <c r="M7" i="2"/>
  <c r="O7" i="2" s="1"/>
  <c r="R32" i="2" l="1"/>
  <c r="P22" i="2"/>
  <c r="V14" i="2"/>
  <c r="R12" i="2"/>
  <c r="P11" i="2"/>
  <c r="P35" i="2"/>
  <c r="P23" i="2"/>
  <c r="V12" i="2"/>
  <c r="R11" i="2"/>
  <c r="P10" i="2"/>
  <c r="P32" i="2"/>
  <c r="P25" i="2"/>
  <c r="P20" i="2"/>
  <c r="P12" i="2"/>
  <c r="V10" i="2"/>
  <c r="P30" i="2"/>
  <c r="P14" i="2"/>
  <c r="V11" i="2"/>
  <c r="R10" i="2"/>
  <c r="P33" i="2"/>
  <c r="R22" i="2"/>
  <c r="R14" i="2" l="1"/>
  <c r="R25" i="2" l="1"/>
  <c r="R26" i="2" s="1"/>
  <c r="R35" i="2"/>
  <c r="R36" i="2" s="1"/>
  <c r="R15" i="2"/>
</calcChain>
</file>

<file path=xl/sharedStrings.xml><?xml version="1.0" encoding="utf-8"?>
<sst xmlns="http://schemas.openxmlformats.org/spreadsheetml/2006/main" count="18" uniqueCount="17">
  <si>
    <t>C</t>
  </si>
  <si>
    <t>k</t>
  </si>
  <si>
    <t>T</t>
  </si>
  <si>
    <t>We know that,</t>
  </si>
  <si>
    <t>r</t>
  </si>
  <si>
    <r>
      <t>S</t>
    </r>
    <r>
      <rPr>
        <sz val="8"/>
        <color theme="1"/>
        <rFont val="Calibri"/>
        <family val="2"/>
        <scheme val="minor"/>
      </rPr>
      <t>0</t>
    </r>
  </si>
  <si>
    <r>
      <t>C + K*(e^-rT) = P + S</t>
    </r>
    <r>
      <rPr>
        <b/>
        <sz val="8"/>
        <color theme="1"/>
        <rFont val="Calibri"/>
        <family val="2"/>
        <scheme val="minor"/>
      </rPr>
      <t>0</t>
    </r>
  </si>
  <si>
    <t>p</t>
  </si>
  <si>
    <t xml:space="preserve">from the formula, </t>
  </si>
  <si>
    <t>Obligation at t = 0</t>
  </si>
  <si>
    <r>
      <t>when S</t>
    </r>
    <r>
      <rPr>
        <sz val="8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&gt;k</t>
    </r>
  </si>
  <si>
    <t>put will lapse</t>
  </si>
  <si>
    <r>
      <t>when S</t>
    </r>
    <r>
      <rPr>
        <sz val="8"/>
        <color theme="1"/>
        <rFont val="Calibri"/>
        <family val="2"/>
        <scheme val="minor"/>
      </rPr>
      <t>T&lt;</t>
    </r>
    <r>
      <rPr>
        <sz val="11"/>
        <color theme="1"/>
        <rFont val="Calibri"/>
        <family val="2"/>
        <scheme val="minor"/>
      </rPr>
      <t>k</t>
    </r>
  </si>
  <si>
    <t>call will lapse</t>
  </si>
  <si>
    <t>Inputs</t>
  </si>
  <si>
    <t>C+K*(e^-rT)</t>
  </si>
  <si>
    <t>P+So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</si>
</sst>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at t =&quot;\ 0"/>
    <numFmt numFmtId="165" formatCode="&quot;at t =&quot;\ 0.###"/>
    <numFmt numFmtId="166" formatCode="#,##0.0000_);[Red]\(#,##0.0000\)"/>
    <numFmt numFmtId="167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8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2" borderId="2" xfId="0" applyFill="1" applyBorder="1"/>
    <xf numFmtId="164" fontId="2" fillId="0" borderId="3" xfId="0" applyNumberFormat="1" applyFont="1" applyBorder="1"/>
    <xf numFmtId="0" fontId="0" fillId="0" borderId="4" xfId="0" applyBorder="1"/>
    <xf numFmtId="0" fontId="0" fillId="0" borderId="5" xfId="0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5" fontId="2" fillId="0" borderId="3" xfId="0" applyNumberFormat="1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66" fontId="0" fillId="0" borderId="0" xfId="0" applyNumberFormat="1"/>
    <xf numFmtId="166" fontId="0" fillId="0" borderId="9" xfId="0" applyNumberFormat="1" applyBorder="1"/>
    <xf numFmtId="167" fontId="3" fillId="3" borderId="2" xfId="0" applyNumberFormat="1" applyFont="1" applyFill="1" applyBorder="1"/>
    <xf numFmtId="0" fontId="0" fillId="0" borderId="6" xfId="0" applyBorder="1"/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A3F33-9743-4B51-B36E-C67D473A260A}">
  <dimension ref="B2:Z37"/>
  <sheetViews>
    <sheetView tabSelected="1" zoomScale="70" workbookViewId="0">
      <selection activeCell="M1" sqref="M1"/>
    </sheetView>
  </sheetViews>
  <sheetFormatPr defaultRowHeight="14.4" x14ac:dyDescent="0.3"/>
  <cols>
    <col min="1" max="1" width="3.88671875" customWidth="1"/>
    <col min="3" max="3" width="9.21875" customWidth="1"/>
    <col min="7" max="7" width="8.88671875" customWidth="1"/>
    <col min="10" max="10" width="3.44140625" customWidth="1"/>
    <col min="11" max="11" width="3.33203125" customWidth="1"/>
    <col min="15" max="15" width="10" bestFit="1" customWidth="1"/>
    <col min="16" max="16" width="11.21875" customWidth="1"/>
    <col min="17" max="17" width="10.5546875" customWidth="1"/>
    <col min="18" max="18" width="9.44140625" bestFit="1" customWidth="1"/>
    <col min="19" max="19" width="4.44140625" customWidth="1"/>
    <col min="20" max="20" width="6.6640625" customWidth="1"/>
    <col min="21" max="21" width="3.88671875" customWidth="1"/>
    <col min="26" max="26" width="4.88671875" customWidth="1"/>
  </cols>
  <sheetData>
    <row r="2" spans="2:26" ht="15" thickBot="1" x14ac:dyDescent="0.35">
      <c r="B2" s="24" t="s">
        <v>14</v>
      </c>
      <c r="C2" s="24"/>
      <c r="D2" s="24"/>
      <c r="E2" s="24"/>
      <c r="F2" s="24"/>
      <c r="G2" s="24"/>
      <c r="H2" s="24"/>
      <c r="I2" s="24"/>
    </row>
    <row r="3" spans="2:26" ht="15" thickBot="1" x14ac:dyDescent="0.35">
      <c r="B3" s="1" t="s">
        <v>0</v>
      </c>
      <c r="C3" s="2">
        <v>5</v>
      </c>
      <c r="E3" s="1" t="s">
        <v>1</v>
      </c>
      <c r="F3" s="2">
        <v>30</v>
      </c>
      <c r="H3" s="1" t="s">
        <v>2</v>
      </c>
      <c r="I3" s="2">
        <v>0.25</v>
      </c>
      <c r="L3" s="19" t="s">
        <v>3</v>
      </c>
      <c r="M3" s="4"/>
      <c r="N3" s="4"/>
      <c r="O3" s="4"/>
      <c r="P3" s="5"/>
    </row>
    <row r="4" spans="2:26" ht="15" thickBot="1" x14ac:dyDescent="0.35">
      <c r="B4" s="1" t="s">
        <v>4</v>
      </c>
      <c r="C4" s="2">
        <v>0.2</v>
      </c>
      <c r="E4" s="1" t="s">
        <v>5</v>
      </c>
      <c r="F4" s="2">
        <v>32</v>
      </c>
      <c r="L4" s="20" t="s">
        <v>6</v>
      </c>
      <c r="M4" s="21"/>
      <c r="N4" s="21"/>
      <c r="P4" s="8"/>
    </row>
    <row r="5" spans="2:26" ht="15" thickBot="1" x14ac:dyDescent="0.35">
      <c r="L5" s="7"/>
      <c r="P5" s="8"/>
    </row>
    <row r="6" spans="2:26" ht="15" thickBot="1" x14ac:dyDescent="0.35">
      <c r="B6" s="1" t="s">
        <v>7</v>
      </c>
      <c r="C6" s="2">
        <v>2.5</v>
      </c>
      <c r="L6" s="7" t="s">
        <v>8</v>
      </c>
      <c r="P6" s="8"/>
    </row>
    <row r="7" spans="2:26" ht="15" thickBot="1" x14ac:dyDescent="0.35">
      <c r="L7" s="1" t="s">
        <v>7</v>
      </c>
      <c r="M7" s="18">
        <f>C3+F3*(EXP(-C4*I3)) - F4</f>
        <v>1.5368827350214218</v>
      </c>
      <c r="N7" s="10"/>
      <c r="O7" s="22" t="str">
        <f>IF(C6&gt;M7, "Overpriced", "Underpriced")</f>
        <v>Overpriced</v>
      </c>
      <c r="P7" s="23"/>
    </row>
    <row r="8" spans="2:26" ht="15" thickBot="1" x14ac:dyDescent="0.35">
      <c r="E8" t="s">
        <v>15</v>
      </c>
      <c r="F8" t="s">
        <v>16</v>
      </c>
    </row>
    <row r="9" spans="2:26" ht="15" thickBot="1" x14ac:dyDescent="0.35">
      <c r="E9">
        <f>C3+F3*EXP(-C4*I3)</f>
        <v>33.536882735021422</v>
      </c>
      <c r="F9">
        <f>C6+F4</f>
        <v>34.5</v>
      </c>
      <c r="O9" s="3">
        <v>0</v>
      </c>
      <c r="P9" s="4"/>
      <c r="Q9" s="4"/>
      <c r="R9" s="4"/>
      <c r="S9" s="5"/>
      <c r="U9" s="6" t="s">
        <v>9</v>
      </c>
      <c r="V9" s="4"/>
      <c r="W9" s="4"/>
      <c r="X9" s="4"/>
      <c r="Y9" s="4"/>
      <c r="Z9" s="5"/>
    </row>
    <row r="10" spans="2:26" x14ac:dyDescent="0.3">
      <c r="O10" s="7"/>
      <c r="P10" t="str">
        <f>IF(O7 = "Overpriced","short put", "long put")</f>
        <v>short put</v>
      </c>
      <c r="R10" s="16">
        <f>IF(O7 = "Overpriced", C6, -C6)</f>
        <v>2.5</v>
      </c>
      <c r="S10" s="8"/>
      <c r="U10" s="7"/>
      <c r="V10" t="str">
        <f xml:space="preserve"> IF($O$7 = "Overpriced", "Obligation to sell at K (when ST&lt;K)","right to sell at price K")</f>
        <v>Obligation to sell at K (when ST&lt;K)</v>
      </c>
      <c r="Z10" s="8"/>
    </row>
    <row r="11" spans="2:26" x14ac:dyDescent="0.3">
      <c r="O11" s="7"/>
      <c r="P11" t="str">
        <f>IF(O7 = "Overpriced", "short Stock", "long Stock")</f>
        <v>short Stock</v>
      </c>
      <c r="R11" s="16">
        <f>IF(O7 = "Overpriced", F4, -F4)</f>
        <v>32</v>
      </c>
      <c r="S11" s="8"/>
      <c r="U11" s="7"/>
      <c r="V11" t="str">
        <f>IF($O$7 = "Overpriced", "sold one stock that I have to close later", "Own one stock")</f>
        <v>sold one stock that I have to close later</v>
      </c>
      <c r="Z11" s="8"/>
    </row>
    <row r="12" spans="2:26" x14ac:dyDescent="0.3">
      <c r="O12" s="7"/>
      <c r="P12" t="str">
        <f>IF(O7 = "Overpriced", "long call", "short call")</f>
        <v>long call</v>
      </c>
      <c r="R12" s="16">
        <f>IF(O7 = "Overpriced",-C3, C3)</f>
        <v>-5</v>
      </c>
      <c r="S12" s="8"/>
      <c r="U12" s="7"/>
      <c r="V12" t="str">
        <f>IF($O$7 = "Overpriced", "right to sell at K", "Obligation to sell the stock at K, (when ST&gt;K)")</f>
        <v>right to sell at K</v>
      </c>
      <c r="Z12" s="8"/>
    </row>
    <row r="13" spans="2:26" x14ac:dyDescent="0.3">
      <c r="O13" s="7"/>
      <c r="R13" s="16"/>
      <c r="S13" s="8"/>
      <c r="U13" s="7"/>
      <c r="Z13" s="8"/>
    </row>
    <row r="14" spans="2:26" x14ac:dyDescent="0.3">
      <c r="O14" s="7"/>
      <c r="P14" t="str">
        <f>IF(O7 = "Overpriced", "lend to bank", "borrow from bank")</f>
        <v>lend to bank</v>
      </c>
      <c r="R14" s="16">
        <f>IF(O7 = "Overpriced", -SUM(R10:R12), -SUM(R10:R12))</f>
        <v>-29.5</v>
      </c>
      <c r="S14" s="8"/>
      <c r="U14" s="7"/>
      <c r="V14" t="str">
        <f>IF($O$7 = "overpriced", "receive principal with intrest", "repay the loan")</f>
        <v>receive principal with intrest</v>
      </c>
      <c r="Z14" s="8"/>
    </row>
    <row r="15" spans="2:26" ht="15" thickBot="1" x14ac:dyDescent="0.35">
      <c r="O15" s="7"/>
      <c r="R15" s="17">
        <f>SUM(R10:R14)</f>
        <v>0</v>
      </c>
      <c r="S15" s="8"/>
      <c r="U15" s="7"/>
      <c r="Z15" s="8"/>
    </row>
    <row r="16" spans="2:26" ht="15.6" thickTop="1" thickBot="1" x14ac:dyDescent="0.35">
      <c r="O16" s="9"/>
      <c r="P16" s="10"/>
      <c r="Q16" s="10"/>
      <c r="R16" s="10"/>
      <c r="S16" s="11"/>
      <c r="U16" s="9"/>
      <c r="V16" s="10"/>
      <c r="W16" s="10"/>
      <c r="X16" s="10"/>
      <c r="Y16" s="10"/>
      <c r="Z16" s="11"/>
    </row>
    <row r="17" spans="15:19" ht="15" thickBot="1" x14ac:dyDescent="0.35"/>
    <row r="18" spans="15:19" ht="15" thickBot="1" x14ac:dyDescent="0.35">
      <c r="O18" s="12">
        <f>I3</f>
        <v>0.25</v>
      </c>
      <c r="P18" s="4"/>
      <c r="Q18" s="4"/>
      <c r="R18" s="4"/>
      <c r="S18" s="5"/>
    </row>
    <row r="19" spans="15:19" x14ac:dyDescent="0.3">
      <c r="O19" s="7" t="s">
        <v>10</v>
      </c>
      <c r="S19" s="8"/>
    </row>
    <row r="20" spans="15:19" x14ac:dyDescent="0.3">
      <c r="O20" s="7"/>
      <c r="P20" t="str">
        <f>IF($O$7 = "Overpriced", "Exercise the call option", "Call option will be exercised")</f>
        <v>Exercise the call option</v>
      </c>
      <c r="R20" s="16"/>
      <c r="S20" s="8"/>
    </row>
    <row r="21" spans="15:19" x14ac:dyDescent="0.3">
      <c r="O21" s="7"/>
      <c r="P21" t="s">
        <v>11</v>
      </c>
      <c r="R21" s="16"/>
      <c r="S21" s="8"/>
    </row>
    <row r="22" spans="15:19" x14ac:dyDescent="0.3">
      <c r="O22" s="7"/>
      <c r="P22" t="str">
        <f>IF($O$7 = "Overpriced", "buy stock", "sell stock")</f>
        <v>buy stock</v>
      </c>
      <c r="R22" s="16">
        <f>IF($O$7 = "Overpriced",-$F$3,$F$3)</f>
        <v>-30</v>
      </c>
      <c r="S22" s="8"/>
    </row>
    <row r="23" spans="15:19" x14ac:dyDescent="0.3">
      <c r="O23" s="7"/>
      <c r="P23" t="str">
        <f>IF($O$7 = "Overpriced", "close the short stock", "close the call option")</f>
        <v>close the short stock</v>
      </c>
      <c r="R23" s="16"/>
      <c r="S23" s="8"/>
    </row>
    <row r="24" spans="15:19" x14ac:dyDescent="0.3">
      <c r="O24" s="7"/>
      <c r="R24" s="16"/>
      <c r="S24" s="8"/>
    </row>
    <row r="25" spans="15:19" x14ac:dyDescent="0.3">
      <c r="O25" s="7"/>
      <c r="P25" t="str">
        <f>IF($O$7 = "Overpriced", "collect from bank", "repay the bank")</f>
        <v>collect from bank</v>
      </c>
      <c r="R25" s="16">
        <f>-R14*EXP($C$4*$I$3)</f>
        <v>31.012497343092711</v>
      </c>
      <c r="S25" s="8"/>
    </row>
    <row r="26" spans="15:19" ht="15" thickBot="1" x14ac:dyDescent="0.35">
      <c r="O26" s="7"/>
      <c r="R26" s="17">
        <f>SUM(R20:R25)</f>
        <v>1.0124973430927113</v>
      </c>
      <c r="S26" s="8"/>
    </row>
    <row r="27" spans="15:19" ht="15" thickTop="1" x14ac:dyDescent="0.3">
      <c r="O27" s="13"/>
      <c r="P27" s="14"/>
      <c r="Q27" s="14"/>
      <c r="R27" s="14"/>
      <c r="S27" s="15"/>
    </row>
    <row r="28" spans="15:19" x14ac:dyDescent="0.3">
      <c r="O28" s="7"/>
      <c r="S28" s="8"/>
    </row>
    <row r="29" spans="15:19" x14ac:dyDescent="0.3">
      <c r="O29" s="7" t="s">
        <v>12</v>
      </c>
      <c r="S29" s="8"/>
    </row>
    <row r="30" spans="15:19" x14ac:dyDescent="0.3">
      <c r="O30" s="7"/>
      <c r="P30" t="str">
        <f>IF($O$7 = "Overpriced", "Put option will be exercised", "Exercise the put option")</f>
        <v>Put option will be exercised</v>
      </c>
      <c r="R30" s="16"/>
      <c r="S30" s="8"/>
    </row>
    <row r="31" spans="15:19" x14ac:dyDescent="0.3">
      <c r="O31" s="7"/>
      <c r="P31" t="s">
        <v>13</v>
      </c>
      <c r="R31" s="16"/>
      <c r="S31" s="8"/>
    </row>
    <row r="32" spans="15:19" x14ac:dyDescent="0.3">
      <c r="O32" s="7"/>
      <c r="P32" t="str">
        <f>IF($O$7 = "Overpriced", "buy stock", "sell stock")</f>
        <v>buy stock</v>
      </c>
      <c r="R32" s="16">
        <f>IF($O$7 = "Overpriced",-$F$3,$F$3)</f>
        <v>-30</v>
      </c>
      <c r="S32" s="8"/>
    </row>
    <row r="33" spans="15:19" x14ac:dyDescent="0.3">
      <c r="O33" s="7"/>
      <c r="P33" t="str">
        <f>IF($O$7 = "Overpriced", "close the short stock", "close the long stock")</f>
        <v>close the short stock</v>
      </c>
      <c r="R33" s="16"/>
      <c r="S33" s="8"/>
    </row>
    <row r="34" spans="15:19" x14ac:dyDescent="0.3">
      <c r="O34" s="7"/>
      <c r="R34" s="16"/>
      <c r="S34" s="8"/>
    </row>
    <row r="35" spans="15:19" x14ac:dyDescent="0.3">
      <c r="O35" s="7"/>
      <c r="P35" t="str">
        <f>IF($O$7 = "Overpriced", "collect from bank", "repay the bank")</f>
        <v>collect from bank</v>
      </c>
      <c r="R35" s="16">
        <f>-$R$14*EXP($C$4*$I$3)</f>
        <v>31.012497343092711</v>
      </c>
      <c r="S35" s="8"/>
    </row>
    <row r="36" spans="15:19" ht="15" thickBot="1" x14ac:dyDescent="0.35">
      <c r="O36" s="7"/>
      <c r="R36" s="17">
        <f>SUM(R30:R35)</f>
        <v>1.0124973430927113</v>
      </c>
      <c r="S36" s="8"/>
    </row>
    <row r="37" spans="15:19" ht="15.6" thickTop="1" thickBot="1" x14ac:dyDescent="0.35">
      <c r="O37" s="9"/>
      <c r="P37" s="10"/>
      <c r="Q37" s="10"/>
      <c r="R37" s="10"/>
      <c r="S37" s="11"/>
    </row>
  </sheetData>
  <mergeCells count="3">
    <mergeCell ref="L4:N4"/>
    <mergeCell ref="O7:P7"/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Put-Call Parity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</dc:creator>
  <cp:lastModifiedBy>Jayesh Jain</cp:lastModifiedBy>
  <dcterms:created xsi:type="dcterms:W3CDTF">2015-06-05T18:17:20Z</dcterms:created>
  <dcterms:modified xsi:type="dcterms:W3CDTF">2025-11-05T12:50:26Z</dcterms:modified>
</cp:coreProperties>
</file>